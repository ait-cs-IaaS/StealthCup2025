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/>
  <mc:AlternateContent xmlns:mc="http://schemas.openxmlformats.org/markup-compatibility/2006">
    <mc:Choice Requires="x15">
      <x15ac:absPath xmlns:x15ac="http://schemas.microsoft.com/office/spreadsheetml/2010/11/ac" url="/Users/manuel/Documents/projects/_dis-dev/StealthCup2025/docs/ScientificApplication/"/>
    </mc:Choice>
  </mc:AlternateContent>
  <xr:revisionPtr revIDLastSave="0" documentId="13_ncr:1_{9B622A27-5983-0044-933E-3C522D1C5D4D}" xr6:coauthVersionLast="47" xr6:coauthVersionMax="47" xr10:uidLastSave="{00000000-0000-0000-0000-000000000000}"/>
  <bookViews>
    <workbookView xWindow="20320" yWindow="3240" windowWidth="31260" windowHeight="24460" xr2:uid="{00000000-000D-0000-FFFF-FFFF00000000}"/>
  </bookViews>
  <sheets>
    <sheet name="Events" sheetId="2" r:id="rId1"/>
    <sheet name="RAW from DB" sheetId="3" r:id="rId2"/>
    <sheet name="statistic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2" l="1"/>
  <c r="Z15" i="2"/>
  <c r="AA15" i="2"/>
  <c r="AA4" i="2"/>
  <c r="AA5" i="2"/>
  <c r="AA6" i="2"/>
  <c r="AA7" i="2"/>
  <c r="AA8" i="2"/>
  <c r="AA9" i="2"/>
  <c r="AA10" i="2"/>
  <c r="AA11" i="2"/>
  <c r="AA12" i="2"/>
  <c r="AA13" i="2"/>
  <c r="AA14" i="2"/>
  <c r="AA3" i="2"/>
  <c r="Y4" i="2"/>
  <c r="Y5" i="2"/>
  <c r="Y6" i="2"/>
  <c r="Y7" i="2"/>
  <c r="Y8" i="2"/>
  <c r="Y9" i="2"/>
  <c r="Y10" i="2"/>
  <c r="Y11" i="2"/>
  <c r="Y12" i="2"/>
  <c r="Y13" i="2"/>
  <c r="Y14" i="2"/>
  <c r="Y3" i="2"/>
  <c r="V4" i="2"/>
  <c r="W4" i="2"/>
  <c r="X4" i="2"/>
  <c r="Z4" i="2"/>
  <c r="V5" i="2"/>
  <c r="W5" i="2"/>
  <c r="X5" i="2"/>
  <c r="Z5" i="2"/>
  <c r="V6" i="2"/>
  <c r="W6" i="2"/>
  <c r="X6" i="2"/>
  <c r="Z6" i="2"/>
  <c r="V7" i="2"/>
  <c r="W7" i="2"/>
  <c r="W15" i="2" s="1"/>
  <c r="X7" i="2"/>
  <c r="Z7" i="2"/>
  <c r="V8" i="2"/>
  <c r="W8" i="2"/>
  <c r="X8" i="2"/>
  <c r="Z8" i="2"/>
  <c r="V9" i="2"/>
  <c r="W9" i="2"/>
  <c r="X9" i="2"/>
  <c r="Z9" i="2"/>
  <c r="V10" i="2"/>
  <c r="W10" i="2"/>
  <c r="X10" i="2"/>
  <c r="Z10" i="2"/>
  <c r="V11" i="2"/>
  <c r="W11" i="2"/>
  <c r="X11" i="2"/>
  <c r="Z11" i="2"/>
  <c r="V12" i="2"/>
  <c r="W12" i="2"/>
  <c r="X12" i="2"/>
  <c r="Z12" i="2"/>
  <c r="V13" i="2"/>
  <c r="W13" i="2"/>
  <c r="X13" i="2"/>
  <c r="Z13" i="2"/>
  <c r="V14" i="2"/>
  <c r="W14" i="2"/>
  <c r="X14" i="2"/>
  <c r="Z14" i="2"/>
  <c r="Z3" i="2"/>
  <c r="X3" i="2"/>
  <c r="W3" i="2"/>
  <c r="V3" i="2"/>
  <c r="V15" i="2" s="1"/>
  <c r="Y15" i="2" l="1"/>
</calcChain>
</file>

<file path=xl/sharedStrings.xml><?xml version="1.0" encoding="utf-8"?>
<sst xmlns="http://schemas.openxmlformats.org/spreadsheetml/2006/main" count="254" uniqueCount="146">
  <si>
    <t>microwoft_secuwurty</t>
  </si>
  <si>
    <t>leberkas_club_vegan</t>
  </si>
  <si>
    <t>shaheen</t>
  </si>
  <si>
    <t>m1kulov3rz</t>
  </si>
  <si>
    <t>versec</t>
  </si>
  <si>
    <t>undercover</t>
  </si>
  <si>
    <t>oopsipwneditagain</t>
  </si>
  <si>
    <t>a1d</t>
  </si>
  <si>
    <t>dragonfly</t>
  </si>
  <si>
    <t>lag</t>
  </si>
  <si>
    <t>Start</t>
  </si>
  <si>
    <t>traceforce</t>
  </si>
  <si>
    <t>momentuminfinity</t>
  </si>
  <si>
    <t>unknown</t>
  </si>
  <si>
    <t>IT Flag</t>
  </si>
  <si>
    <t>OT Flag</t>
  </si>
  <si>
    <t>Run1</t>
  </si>
  <si>
    <t>Start of suricata</t>
  </si>
  <si>
    <t>Writeup</t>
  </si>
  <si>
    <t>Run2</t>
  </si>
  <si>
    <t>Reset</t>
  </si>
  <si>
    <t>Run3</t>
  </si>
  <si>
    <t>Number of</t>
  </si>
  <si>
    <t>timestamp</t>
  </si>
  <si>
    <t>team_id</t>
  </si>
  <si>
    <t>objective</t>
  </si>
  <si>
    <t>score</t>
  </si>
  <si>
    <t>2025-03-28T10:55:18</t>
  </si>
  <si>
    <t>team1</t>
  </si>
  <si>
    <t>IT</t>
  </si>
  <si>
    <t>41640.45</t>
  </si>
  <si>
    <t>2025-03-28T16:28:24</t>
  </si>
  <si>
    <t>team10</t>
  </si>
  <si>
    <t>OT</t>
  </si>
  <si>
    <t>11523.3</t>
  </si>
  <si>
    <t>2025-03-28T10:19:49</t>
  </si>
  <si>
    <t>team2</t>
  </si>
  <si>
    <t>1643.6</t>
  </si>
  <si>
    <t>2025-03-28T10:19:50</t>
  </si>
  <si>
    <t>2025-03-28T12:12:08</t>
  </si>
  <si>
    <t>3675.95</t>
  </si>
  <si>
    <t>2025-03-28T15:24:05</t>
  </si>
  <si>
    <t>729.28</t>
  </si>
  <si>
    <t>2025-03-28T15:48:55</t>
  </si>
  <si>
    <t>1380.23</t>
  </si>
  <si>
    <t>2025-03-28T11:45:48</t>
  </si>
  <si>
    <t>team3</t>
  </si>
  <si>
    <t>1910.3</t>
  </si>
  <si>
    <t>2025-03-28T11:48:11</t>
  </si>
  <si>
    <t>1911.55</t>
  </si>
  <si>
    <t>2025-03-28T14:09:46</t>
  </si>
  <si>
    <t>536.87</t>
  </si>
  <si>
    <t>2025-03-28T14:09:48</t>
  </si>
  <si>
    <t>2025-03-28T16:15:31</t>
  </si>
  <si>
    <t>391.66</t>
  </si>
  <si>
    <t>2025-03-28T11:31:04</t>
  </si>
  <si>
    <t>team4</t>
  </si>
  <si>
    <t>1466.4</t>
  </si>
  <si>
    <t>2025-03-28T15:51:57</t>
  </si>
  <si>
    <t>678.41</t>
  </si>
  <si>
    <t>2025-03-28T15:19:12</t>
  </si>
  <si>
    <t>team6</t>
  </si>
  <si>
    <t>43.52</t>
  </si>
  <si>
    <t>2025-03-28T13:43:32</t>
  </si>
  <si>
    <t>team7</t>
  </si>
  <si>
    <t>35172.5</t>
  </si>
  <si>
    <t>2025-03-28T15:18:49</t>
  </si>
  <si>
    <t>2373.68</t>
  </si>
  <si>
    <t>2025-03-28T15:18:50</t>
  </si>
  <si>
    <t>2025-03-28T16:15:27</t>
  </si>
  <si>
    <t>135.47</t>
  </si>
  <si>
    <t>2025-03-28T16:15:28</t>
  </si>
  <si>
    <t>2025-03-28T16:18:25</t>
  </si>
  <si>
    <t>team8</t>
  </si>
  <si>
    <t>360.47</t>
  </si>
  <si>
    <t>2025-03-28T10:53:13</t>
  </si>
  <si>
    <t>team9</t>
  </si>
  <si>
    <t>8512.65</t>
  </si>
  <si>
    <t>2025-03-28T11:38:36</t>
  </si>
  <si>
    <t>9907.3</t>
  </si>
  <si>
    <t>2025-03-28T14:44:16</t>
  </si>
  <si>
    <t>316.79</t>
  </si>
  <si>
    <t>2025-03-28T14:28:47</t>
  </si>
  <si>
    <t>2025-03-28T14:57:03</t>
  </si>
  <si>
    <t>team12</t>
  </si>
  <si>
    <t>2025-03-28T14:11:05</t>
  </si>
  <si>
    <t>2025-03-28T12:45:55</t>
  </si>
  <si>
    <t>2025-03-28T15:28:28</t>
  </si>
  <si>
    <t>2025-03-28T14:37:54</t>
  </si>
  <si>
    <t>2025-03-28T14:16:54</t>
  </si>
  <si>
    <t>2025-03-28T14:12:41</t>
  </si>
  <si>
    <t>2025-03-28T15:24:28</t>
  </si>
  <si>
    <t>2025-03-28T13:50:48</t>
  </si>
  <si>
    <t>2025-03-28T14:58:07</t>
  </si>
  <si>
    <t>2025-03-28T13:50:29</t>
  </si>
  <si>
    <t>RESETS</t>
  </si>
  <si>
    <t>OBJECTIVES</t>
  </si>
  <si>
    <t>Host Logs</t>
  </si>
  <si>
    <t>Runs</t>
  </si>
  <si>
    <t xml:space="preserve"> 15:13:17</t>
  </si>
  <si>
    <t>filename</t>
  </si>
  <si>
    <t>team10_flow_2025-03-28.ndjson</t>
  </si>
  <si>
    <t>team11_flow_2025-03-28.ndjson</t>
  </si>
  <si>
    <t>team12_flow_2025-03-28.ndjson</t>
  </si>
  <si>
    <t>team1_flow_2025-03-28.ndjson</t>
  </si>
  <si>
    <t>team2_flow_2025-03-28.ndjson</t>
  </si>
  <si>
    <t>team3_flow_2025-03-28.ndjson</t>
  </si>
  <si>
    <t>team4_flow_2025-03-28.ndjson</t>
  </si>
  <si>
    <t>team5_flow_2025-03-28.ndjson</t>
  </si>
  <si>
    <t>team6_flow_2025-03-28.ndjson</t>
  </si>
  <si>
    <t>team7_flow_2025-03-28.ndjson</t>
  </si>
  <si>
    <t>team8_flow_2025-03-28.ndjson</t>
  </si>
  <si>
    <t>team9_flow_2025-03-28.ndjson</t>
  </si>
  <si>
    <t>all_flows</t>
  </si>
  <si>
    <t>filesize_mb</t>
  </si>
  <si>
    <t>team10_alert_2025-03-28.ndjson</t>
  </si>
  <si>
    <t>team11_alert_2025-03-28.ndjson</t>
  </si>
  <si>
    <t>team12_alert_2025-03-28.ndjson</t>
  </si>
  <si>
    <t>team1_alert_2025-03-28.ndjson</t>
  </si>
  <si>
    <t>team2_alert_2025-03-28.ndjson</t>
  </si>
  <si>
    <t>team3_alert_2025-03-28.ndjson</t>
  </si>
  <si>
    <t>team4_alert_2025-03-28.ndjson</t>
  </si>
  <si>
    <t>team5_alert_2025-03-28.ndjson</t>
  </si>
  <si>
    <t>team6_alert_2025-03-28.ndjson</t>
  </si>
  <si>
    <t>team7_alert_2025-03-28.ndjson</t>
  </si>
  <si>
    <t>team8_alert_2025-03-28.ndjson</t>
  </si>
  <si>
    <t>team9_alert_2025-03-28.ndjson</t>
  </si>
  <si>
    <t>all_alerts</t>
  </si>
  <si>
    <t>Firewall Alerts</t>
  </si>
  <si>
    <t>Network Netflow</t>
  </si>
  <si>
    <t>Start suricata</t>
  </si>
  <si>
    <t>x</t>
  </si>
  <si>
    <t>y</t>
  </si>
  <si>
    <t>./team4/run2/team_04_m1kulov3rz_17-32.md</t>
  </si>
  <si>
    <t>./team4/run1/team_04_m1kulov3rz_13-07.md</t>
  </si>
  <si>
    <t>./team12/run2/team_12_lag_all-time.md</t>
  </si>
  <si>
    <t>./team3/run3/team_03_shaheen_17-19.md</t>
  </si>
  <si>
    <t>./team7/run2/team_07_undercover_16-21.md</t>
  </si>
  <si>
    <t>./team7/run3/team_07_undercover_17-12.md</t>
  </si>
  <si>
    <t>./team9/run2/team_09_a1d_15-51.md</t>
  </si>
  <si>
    <t>./team9/run1/team_09_a1d_11-57.md</t>
  </si>
  <si>
    <t>./team10/run1/team_10_dragonfly_12-53.md</t>
  </si>
  <si>
    <t>./team10/run1/team_10_dragonfly_17-29.md</t>
  </si>
  <si>
    <t>./team1/run2/team_01_microwoft_secuwurty_16-35.md</t>
  </si>
  <si>
    <t>manual validation via discord</t>
  </si>
  <si>
    <t>2025-03-28T15:25:00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</si>
</sst>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Menlo"/>
      <family val="2"/>
    </font>
    <font>
      <sz val="11"/>
      <color rgb="FF00B050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6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0" xfId="0" applyFill="1"/>
    <xf numFmtId="21" fontId="0" fillId="3" borderId="0" xfId="0" applyNumberFormat="1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4" fillId="3" borderId="0" xfId="0" applyNumberFormat="1" applyFont="1" applyFill="1" applyAlignment="1">
      <alignment horizontal="center" vertical="center"/>
    </xf>
    <xf numFmtId="20" fontId="0" fillId="3" borderId="0" xfId="0" applyNumberFormat="1" applyFill="1"/>
    <xf numFmtId="19" fontId="0" fillId="3" borderId="0" xfId="0" applyNumberFormat="1" applyFill="1" applyAlignment="1">
      <alignment horizontal="center" vertical="center"/>
    </xf>
    <xf numFmtId="0" fontId="0" fillId="2" borderId="2" xfId="0" applyFill="1" applyBorder="1"/>
    <xf numFmtId="21" fontId="0" fillId="3" borderId="1" xfId="0" applyNumberFormat="1" applyFill="1" applyBorder="1" applyAlignment="1">
      <alignment horizontal="center" vertical="center"/>
    </xf>
    <xf numFmtId="20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/>
    <xf numFmtId="21" fontId="0" fillId="3" borderId="3" xfId="0" applyNumberFormat="1" applyFill="1" applyBorder="1" applyAlignment="1">
      <alignment horizontal="center" vertical="center"/>
    </xf>
    <xf numFmtId="20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20" fontId="0" fillId="3" borderId="5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21" fontId="0" fillId="3" borderId="4" xfId="0" applyNumberFormat="1" applyFill="1" applyBorder="1" applyAlignment="1">
      <alignment horizontal="center" vertical="center"/>
    </xf>
    <xf numFmtId="0" fontId="3" fillId="2" borderId="9" xfId="0" applyFont="1" applyFill="1" applyBorder="1"/>
    <xf numFmtId="0" fontId="3" fillId="2" borderId="13" xfId="0" applyFont="1" applyFill="1" applyBorder="1"/>
    <xf numFmtId="0" fontId="3" fillId="2" borderId="19" xfId="0" applyFont="1" applyFill="1" applyBorder="1"/>
    <xf numFmtId="0" fontId="3" fillId="2" borderId="20" xfId="0" applyFont="1" applyFill="1" applyBorder="1"/>
    <xf numFmtId="0" fontId="3" fillId="2" borderId="14" xfId="0" applyFont="1" applyFill="1" applyBorder="1"/>
    <xf numFmtId="0" fontId="3" fillId="2" borderId="18" xfId="0" applyFont="1" applyFill="1" applyBorder="1"/>
    <xf numFmtId="0" fontId="0" fillId="3" borderId="0" xfId="0" applyFill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BE20E-18C1-3F48-ABA4-55FA8CEC36DC}">
  <dimension ref="A1:AG41"/>
  <sheetViews>
    <sheetView tabSelected="1" topLeftCell="A2" workbookViewId="0">
      <selection activeCell="O9" sqref="O9"/>
    </sheetView>
  </sheetViews>
  <sheetFormatPr baseColWidth="10" defaultRowHeight="15" x14ac:dyDescent="0.2"/>
  <cols>
    <col min="1" max="1" width="3.1640625" bestFit="1" customWidth="1"/>
    <col min="2" max="2" width="19.33203125" customWidth="1"/>
    <col min="3" max="3" width="13" hidden="1" customWidth="1"/>
    <col min="4" max="4" width="4.6640625" bestFit="1" customWidth="1"/>
    <col min="5" max="5" width="5.83203125" bestFit="1" customWidth="1"/>
    <col min="6" max="6" width="6.5" bestFit="1" customWidth="1"/>
    <col min="7" max="7" width="8.33203125" bestFit="1" customWidth="1"/>
    <col min="8" max="8" width="5.6640625" bestFit="1" customWidth="1"/>
    <col min="9" max="9" width="9.5" customWidth="1"/>
    <col min="10" max="10" width="13" hidden="1" customWidth="1"/>
    <col min="11" max="11" width="5.83203125" bestFit="1" customWidth="1"/>
    <col min="12" max="12" width="10" bestFit="1" customWidth="1"/>
    <col min="13" max="13" width="7.5" bestFit="1" customWidth="1"/>
    <col min="14" max="14" width="5.6640625" bestFit="1" customWidth="1"/>
    <col min="15" max="15" width="8.83203125" customWidth="1"/>
    <col min="16" max="16" width="13" hidden="1" customWidth="1"/>
    <col min="17" max="17" width="5.83203125" bestFit="1" customWidth="1"/>
    <col min="18" max="18" width="6.5" bestFit="1" customWidth="1"/>
    <col min="19" max="19" width="7.5" bestFit="1" customWidth="1"/>
    <col min="20" max="20" width="5.1640625" customWidth="1"/>
    <col min="21" max="21" width="8.83203125" customWidth="1"/>
    <col min="22" max="22" width="5.83203125" bestFit="1" customWidth="1"/>
    <col min="23" max="23" width="6.5" bestFit="1" customWidth="1"/>
    <col min="24" max="24" width="5.1640625" bestFit="1" customWidth="1"/>
    <col min="25" max="26" width="7.5" bestFit="1" customWidth="1"/>
    <col min="27" max="27" width="7.1640625" customWidth="1"/>
  </cols>
  <sheetData>
    <row r="1" spans="1:33" ht="15" customHeight="1" x14ac:dyDescent="0.2">
      <c r="A1" s="39"/>
      <c r="B1" s="40"/>
      <c r="C1" s="47" t="s">
        <v>16</v>
      </c>
      <c r="D1" s="44"/>
      <c r="E1" s="44"/>
      <c r="F1" s="44"/>
      <c r="G1" s="44"/>
      <c r="H1" s="44"/>
      <c r="I1" s="46"/>
      <c r="J1" s="43" t="s">
        <v>19</v>
      </c>
      <c r="K1" s="44"/>
      <c r="L1" s="44"/>
      <c r="M1" s="44"/>
      <c r="N1" s="44"/>
      <c r="O1" s="46"/>
      <c r="P1" s="43" t="s">
        <v>21</v>
      </c>
      <c r="Q1" s="44"/>
      <c r="R1" s="44"/>
      <c r="S1" s="44"/>
      <c r="T1" s="44"/>
      <c r="U1" s="46"/>
      <c r="V1" s="43" t="s">
        <v>22</v>
      </c>
      <c r="W1" s="44"/>
      <c r="X1" s="44"/>
      <c r="Y1" s="44"/>
      <c r="Z1" s="44"/>
      <c r="AA1" s="45"/>
    </row>
    <row r="2" spans="1:33" ht="16" thickBot="1" x14ac:dyDescent="0.25">
      <c r="A2" s="41"/>
      <c r="B2" s="42"/>
      <c r="C2" s="27" t="s">
        <v>17</v>
      </c>
      <c r="D2" s="28" t="s">
        <v>10</v>
      </c>
      <c r="E2" s="28" t="s">
        <v>14</v>
      </c>
      <c r="F2" s="28" t="s">
        <v>15</v>
      </c>
      <c r="G2" s="28" t="s">
        <v>18</v>
      </c>
      <c r="H2" s="28" t="s">
        <v>20</v>
      </c>
      <c r="I2" s="29" t="s">
        <v>97</v>
      </c>
      <c r="J2" s="30" t="s">
        <v>130</v>
      </c>
      <c r="K2" s="28" t="s">
        <v>14</v>
      </c>
      <c r="L2" s="28" t="s">
        <v>15</v>
      </c>
      <c r="M2" s="28" t="s">
        <v>18</v>
      </c>
      <c r="N2" s="28" t="s">
        <v>20</v>
      </c>
      <c r="O2" s="29" t="s">
        <v>97</v>
      </c>
      <c r="P2" s="30" t="s">
        <v>130</v>
      </c>
      <c r="Q2" s="28" t="s">
        <v>14</v>
      </c>
      <c r="R2" s="28" t="s">
        <v>15</v>
      </c>
      <c r="S2" s="28" t="s">
        <v>18</v>
      </c>
      <c r="T2" s="28" t="s">
        <v>20</v>
      </c>
      <c r="U2" s="29" t="s">
        <v>97</v>
      </c>
      <c r="V2" s="30" t="s">
        <v>14</v>
      </c>
      <c r="W2" s="28" t="s">
        <v>15</v>
      </c>
      <c r="X2" s="28" t="s">
        <v>20</v>
      </c>
      <c r="Y2" s="28" t="s">
        <v>97</v>
      </c>
      <c r="Z2" s="28" t="s">
        <v>18</v>
      </c>
      <c r="AA2" s="31" t="s">
        <v>98</v>
      </c>
    </row>
    <row r="3" spans="1:33" x14ac:dyDescent="0.2">
      <c r="A3" s="33">
        <v>1</v>
      </c>
      <c r="B3" s="34" t="s">
        <v>0</v>
      </c>
      <c r="C3" s="5">
        <v>0.28711805555555553</v>
      </c>
      <c r="D3" s="6">
        <v>0.35416666666666669</v>
      </c>
      <c r="E3" s="6">
        <v>0.45208333333333334</v>
      </c>
      <c r="F3" s="7"/>
      <c r="G3" s="7"/>
      <c r="H3" s="6">
        <v>0.60277777777777775</v>
      </c>
      <c r="I3" s="13">
        <v>0.60332175925925924</v>
      </c>
      <c r="J3" s="12">
        <v>0.61440972222222223</v>
      </c>
      <c r="K3" s="6">
        <v>0.64236111111111116</v>
      </c>
      <c r="L3" s="7"/>
      <c r="M3" s="6">
        <v>0.64930555555555558</v>
      </c>
      <c r="N3" s="7"/>
      <c r="O3" s="14"/>
      <c r="P3" s="20"/>
      <c r="Q3" s="7"/>
      <c r="R3" s="7"/>
      <c r="S3" s="7"/>
      <c r="T3" s="7"/>
      <c r="U3" s="14"/>
      <c r="V3" s="21">
        <f>COUNT(E3,K3,Q3)</f>
        <v>2</v>
      </c>
      <c r="W3" s="4">
        <f>COUNT(F3,L3,R3)</f>
        <v>0</v>
      </c>
      <c r="X3" s="4">
        <f>COUNT(H3,N3,T3)</f>
        <v>1</v>
      </c>
      <c r="Y3" s="4">
        <f>COUNT(I3,O3,U3)</f>
        <v>1</v>
      </c>
      <c r="Z3" s="4">
        <f t="shared" ref="Z3:Z14" si="0">COUNT(G3,M3,S3)</f>
        <v>1</v>
      </c>
      <c r="AA3" s="11">
        <f>X3+1</f>
        <v>2</v>
      </c>
      <c r="AC3" t="s">
        <v>133</v>
      </c>
      <c r="AG3" t="s">
        <v>143</v>
      </c>
    </row>
    <row r="4" spans="1:33" x14ac:dyDescent="0.2">
      <c r="A4" s="35">
        <v>2</v>
      </c>
      <c r="B4" s="36" t="s">
        <v>1</v>
      </c>
      <c r="C4" s="5">
        <v>0.28749999999999998</v>
      </c>
      <c r="D4" s="6">
        <v>0.35416666666666669</v>
      </c>
      <c r="E4" s="6">
        <v>0.42777777777777776</v>
      </c>
      <c r="F4" s="6">
        <v>0.50555555555555554</v>
      </c>
      <c r="G4" s="7"/>
      <c r="H4" s="6">
        <v>0.59097222222222223</v>
      </c>
      <c r="I4" s="13">
        <v>0.59103009259259254</v>
      </c>
      <c r="J4" s="12">
        <v>0.61234953703703698</v>
      </c>
      <c r="K4" s="6">
        <v>0.63888888888888884</v>
      </c>
      <c r="L4" s="6">
        <v>0.65625</v>
      </c>
      <c r="M4" s="6">
        <v>0.66319444444444442</v>
      </c>
      <c r="N4" s="7"/>
      <c r="O4" s="14"/>
      <c r="P4" s="20"/>
      <c r="Q4" s="7"/>
      <c r="R4" s="7"/>
      <c r="S4" s="7"/>
      <c r="T4" s="7"/>
      <c r="U4" s="14"/>
      <c r="V4" s="21">
        <f t="shared" ref="V4:V14" si="1">COUNT(E4,K4,Q4)</f>
        <v>2</v>
      </c>
      <c r="W4" s="4">
        <f t="shared" ref="W4:W14" si="2">COUNT(F4,L4,R4)</f>
        <v>2</v>
      </c>
      <c r="X4" s="4">
        <f t="shared" ref="X4:X14" si="3">COUNT(H4,N4,T4)</f>
        <v>1</v>
      </c>
      <c r="Y4" s="4">
        <f t="shared" ref="Y4:Y14" si="4">COUNT(I4,O4,U4)</f>
        <v>1</v>
      </c>
      <c r="Z4" s="4">
        <f t="shared" si="0"/>
        <v>1</v>
      </c>
      <c r="AA4" s="11">
        <f t="shared" ref="AA4:AA14" si="5">X4+1</f>
        <v>2</v>
      </c>
      <c r="AC4" t="s">
        <v>134</v>
      </c>
    </row>
    <row r="5" spans="1:33" x14ac:dyDescent="0.2">
      <c r="A5" s="35">
        <v>3</v>
      </c>
      <c r="B5" s="36" t="s">
        <v>2</v>
      </c>
      <c r="C5" s="5">
        <v>0.28756944444444443</v>
      </c>
      <c r="D5" s="6">
        <v>0.35416666666666669</v>
      </c>
      <c r="E5" s="6">
        <v>0.48749999999999999</v>
      </c>
      <c r="F5" s="7"/>
      <c r="G5" s="7"/>
      <c r="H5" s="6">
        <v>0.53125</v>
      </c>
      <c r="I5" s="13">
        <v>0.54123842592592597</v>
      </c>
      <c r="J5" s="12">
        <v>0.54766203703703709</v>
      </c>
      <c r="K5" s="8">
        <v>0.58750000000000002</v>
      </c>
      <c r="L5" s="7"/>
      <c r="M5" s="7"/>
      <c r="N5" s="6">
        <v>0.64444444444444449</v>
      </c>
      <c r="O5" s="13">
        <v>0.64476851851851846</v>
      </c>
      <c r="P5" s="12">
        <v>0.6534375</v>
      </c>
      <c r="Q5" s="6">
        <v>0.67500000000000004</v>
      </c>
      <c r="R5" s="7"/>
      <c r="S5" s="6">
        <v>0.67986111111111114</v>
      </c>
      <c r="T5" s="7"/>
      <c r="U5" s="14"/>
      <c r="V5" s="21">
        <f t="shared" si="1"/>
        <v>3</v>
      </c>
      <c r="W5" s="4">
        <f t="shared" si="2"/>
        <v>0</v>
      </c>
      <c r="X5" s="4">
        <f t="shared" si="3"/>
        <v>2</v>
      </c>
      <c r="Y5" s="4">
        <f t="shared" si="4"/>
        <v>2</v>
      </c>
      <c r="Z5" s="4">
        <f t="shared" si="0"/>
        <v>1</v>
      </c>
      <c r="AA5" s="11">
        <f t="shared" si="5"/>
        <v>3</v>
      </c>
      <c r="AC5" t="s">
        <v>135</v>
      </c>
    </row>
    <row r="6" spans="1:33" x14ac:dyDescent="0.2">
      <c r="A6" s="35">
        <v>4</v>
      </c>
      <c r="B6" s="36" t="s">
        <v>3</v>
      </c>
      <c r="C6" s="5">
        <v>0.28710648148148149</v>
      </c>
      <c r="D6" s="6">
        <v>0.35416666666666669</v>
      </c>
      <c r="E6" s="6">
        <v>0.47708333333333336</v>
      </c>
      <c r="F6" s="7"/>
      <c r="G6" s="6">
        <v>0.50486111111111109</v>
      </c>
      <c r="H6" s="6">
        <v>0.60902777777777772</v>
      </c>
      <c r="I6" s="13">
        <v>0.60965277777777782</v>
      </c>
      <c r="J6" s="12">
        <v>0.63116898148148148</v>
      </c>
      <c r="K6" s="6">
        <v>0.65833333333333333</v>
      </c>
      <c r="L6" s="7"/>
      <c r="M6" s="6">
        <v>0.68888888888888888</v>
      </c>
      <c r="N6" s="7"/>
      <c r="O6" s="14"/>
      <c r="P6" s="20"/>
      <c r="Q6" s="7"/>
      <c r="R6" s="7"/>
      <c r="S6" s="7"/>
      <c r="T6" s="7"/>
      <c r="U6" s="14"/>
      <c r="V6" s="21">
        <f t="shared" si="1"/>
        <v>2</v>
      </c>
      <c r="W6" s="4">
        <f t="shared" si="2"/>
        <v>0</v>
      </c>
      <c r="X6" s="4">
        <f t="shared" si="3"/>
        <v>1</v>
      </c>
      <c r="Y6" s="4">
        <f t="shared" si="4"/>
        <v>1</v>
      </c>
      <c r="Z6" s="4">
        <f t="shared" si="0"/>
        <v>2</v>
      </c>
      <c r="AA6" s="11">
        <f t="shared" si="5"/>
        <v>2</v>
      </c>
      <c r="AC6" t="s">
        <v>136</v>
      </c>
    </row>
    <row r="7" spans="1:33" x14ac:dyDescent="0.2">
      <c r="A7" s="35">
        <v>5</v>
      </c>
      <c r="B7" s="36" t="s">
        <v>11</v>
      </c>
      <c r="C7" s="5">
        <v>0.28711805555555553</v>
      </c>
      <c r="D7" s="6">
        <v>0.35416666666666669</v>
      </c>
      <c r="E7" s="7"/>
      <c r="F7" s="6"/>
      <c r="G7" s="7"/>
      <c r="H7" s="7"/>
      <c r="I7" s="14"/>
      <c r="J7" s="20"/>
      <c r="K7" s="7"/>
      <c r="L7" s="7"/>
      <c r="M7" s="7"/>
      <c r="N7" s="7"/>
      <c r="O7" s="14"/>
      <c r="P7" s="20"/>
      <c r="Q7" s="7"/>
      <c r="R7" s="7"/>
      <c r="S7" s="7"/>
      <c r="T7" s="7"/>
      <c r="U7" s="14"/>
      <c r="V7" s="21">
        <f t="shared" si="1"/>
        <v>0</v>
      </c>
      <c r="W7" s="4">
        <f t="shared" si="2"/>
        <v>0</v>
      </c>
      <c r="X7" s="4">
        <f t="shared" si="3"/>
        <v>0</v>
      </c>
      <c r="Y7" s="4">
        <f t="shared" si="4"/>
        <v>0</v>
      </c>
      <c r="Z7" s="4">
        <f t="shared" si="0"/>
        <v>0</v>
      </c>
      <c r="AA7" s="11">
        <f t="shared" si="5"/>
        <v>1</v>
      </c>
      <c r="AC7" t="s">
        <v>137</v>
      </c>
    </row>
    <row r="8" spans="1:33" x14ac:dyDescent="0.2">
      <c r="A8" s="35">
        <v>6</v>
      </c>
      <c r="B8" s="36" t="s">
        <v>4</v>
      </c>
      <c r="C8" s="5">
        <v>0.28712962962962962</v>
      </c>
      <c r="D8" s="6">
        <v>0.35416666666666669</v>
      </c>
      <c r="E8" s="7"/>
      <c r="F8" s="7"/>
      <c r="G8" s="7"/>
      <c r="H8" s="6">
        <v>0.59444444444444444</v>
      </c>
      <c r="I8" s="13">
        <v>0.59506944444444443</v>
      </c>
      <c r="J8" s="12">
        <v>0.61248842592592589</v>
      </c>
      <c r="K8" s="6">
        <v>0.63541666666666663</v>
      </c>
      <c r="L8" s="7"/>
      <c r="M8" s="6">
        <v>0.65138888888888891</v>
      </c>
      <c r="N8" s="7"/>
      <c r="O8" s="14"/>
      <c r="P8" s="20"/>
      <c r="Q8" s="7"/>
      <c r="R8" s="7"/>
      <c r="S8" s="7"/>
      <c r="T8" s="7"/>
      <c r="U8" s="14"/>
      <c r="V8" s="21">
        <f t="shared" si="1"/>
        <v>1</v>
      </c>
      <c r="W8" s="4">
        <f t="shared" si="2"/>
        <v>0</v>
      </c>
      <c r="X8" s="4">
        <f t="shared" si="3"/>
        <v>1</v>
      </c>
      <c r="Y8" s="4">
        <f t="shared" si="4"/>
        <v>1</v>
      </c>
      <c r="Z8" s="4">
        <f t="shared" si="0"/>
        <v>1</v>
      </c>
      <c r="AA8" s="11">
        <f t="shared" si="5"/>
        <v>2</v>
      </c>
      <c r="AC8" t="s">
        <v>138</v>
      </c>
    </row>
    <row r="9" spans="1:33" x14ac:dyDescent="0.2">
      <c r="A9" s="35">
        <v>7</v>
      </c>
      <c r="B9" s="36" t="s">
        <v>5</v>
      </c>
      <c r="C9" s="5">
        <v>0.28741898148148148</v>
      </c>
      <c r="D9" s="6">
        <v>0.35416666666666669</v>
      </c>
      <c r="E9" s="6">
        <v>0.56944444444444442</v>
      </c>
      <c r="F9" s="7"/>
      <c r="G9" s="7"/>
      <c r="H9" s="6">
        <v>0.59166666666666667</v>
      </c>
      <c r="I9" s="13">
        <v>0.59214120370370371</v>
      </c>
      <c r="J9" s="12">
        <v>0.61236111111111113</v>
      </c>
      <c r="K9" s="6">
        <v>0.63541666666666663</v>
      </c>
      <c r="L9" s="7"/>
      <c r="M9" s="6">
        <v>0.63958333333333328</v>
      </c>
      <c r="N9" s="6">
        <v>0.64166666666666672</v>
      </c>
      <c r="O9" s="13">
        <v>0.6419907407407407</v>
      </c>
      <c r="P9" s="12">
        <v>0.65342592592592597</v>
      </c>
      <c r="Q9" s="6">
        <v>0.67500000000000004</v>
      </c>
      <c r="R9" s="7"/>
      <c r="S9" s="6">
        <v>0.67638888888888893</v>
      </c>
      <c r="T9" s="7"/>
      <c r="U9" s="14"/>
      <c r="V9" s="21">
        <f t="shared" si="1"/>
        <v>3</v>
      </c>
      <c r="W9" s="4">
        <f t="shared" si="2"/>
        <v>0</v>
      </c>
      <c r="X9" s="4">
        <f t="shared" si="3"/>
        <v>2</v>
      </c>
      <c r="Y9" s="4">
        <f t="shared" si="4"/>
        <v>2</v>
      </c>
      <c r="Z9" s="4">
        <f t="shared" si="0"/>
        <v>2</v>
      </c>
      <c r="AA9" s="11">
        <f t="shared" si="5"/>
        <v>3</v>
      </c>
      <c r="AC9" t="s">
        <v>139</v>
      </c>
    </row>
    <row r="10" spans="1:33" x14ac:dyDescent="0.2">
      <c r="A10" s="35">
        <v>8</v>
      </c>
      <c r="B10" s="36" t="s">
        <v>6</v>
      </c>
      <c r="C10" s="5">
        <v>0.28712962962962962</v>
      </c>
      <c r="D10" s="6">
        <v>0.35416666666666669</v>
      </c>
      <c r="E10" s="7"/>
      <c r="F10" s="7"/>
      <c r="G10" s="7"/>
      <c r="H10" s="6">
        <v>0.57638888888888884</v>
      </c>
      <c r="I10" s="13">
        <v>0.57694444444444448</v>
      </c>
      <c r="J10" s="12">
        <v>0.5901967592592593</v>
      </c>
      <c r="K10" s="7"/>
      <c r="L10" s="7"/>
      <c r="M10" s="7"/>
      <c r="N10" s="6">
        <v>0.62361111111111112</v>
      </c>
      <c r="O10" s="13">
        <v>0.62369212962962961</v>
      </c>
      <c r="P10" s="20" t="s">
        <v>99</v>
      </c>
      <c r="Q10" s="6">
        <v>0.67708333333333337</v>
      </c>
      <c r="R10" s="7"/>
      <c r="S10" s="6">
        <v>0.68125000000000002</v>
      </c>
      <c r="T10" s="7"/>
      <c r="U10" s="14"/>
      <c r="V10" s="21">
        <f t="shared" si="1"/>
        <v>1</v>
      </c>
      <c r="W10" s="4">
        <f t="shared" si="2"/>
        <v>0</v>
      </c>
      <c r="X10" s="4">
        <f t="shared" si="3"/>
        <v>2</v>
      </c>
      <c r="Y10" s="4">
        <f t="shared" si="4"/>
        <v>2</v>
      </c>
      <c r="Z10" s="4">
        <f t="shared" si="0"/>
        <v>1</v>
      </c>
      <c r="AA10" s="11">
        <f t="shared" si="5"/>
        <v>3</v>
      </c>
      <c r="AC10" t="s">
        <v>140</v>
      </c>
    </row>
    <row r="11" spans="1:33" x14ac:dyDescent="0.2">
      <c r="A11" s="35">
        <v>9</v>
      </c>
      <c r="B11" s="36" t="s">
        <v>7</v>
      </c>
      <c r="C11" s="5">
        <v>0.28736111111111112</v>
      </c>
      <c r="D11" s="6">
        <v>0.35416666666666669</v>
      </c>
      <c r="E11" s="6">
        <v>0.45069444444444445</v>
      </c>
      <c r="F11" s="7"/>
      <c r="G11" s="6">
        <v>0.45624999999999999</v>
      </c>
      <c r="H11" s="6">
        <v>0.57638888888888884</v>
      </c>
      <c r="I11" s="13">
        <v>0.57672453703703708</v>
      </c>
      <c r="J11" s="12">
        <v>0.5879050925925926</v>
      </c>
      <c r="K11" s="6">
        <v>0.61111111111111116</v>
      </c>
      <c r="L11" s="7"/>
      <c r="M11" s="6">
        <v>0.61875000000000002</v>
      </c>
      <c r="N11" s="7"/>
      <c r="O11" s="14"/>
      <c r="P11" s="20"/>
      <c r="Q11" s="7"/>
      <c r="R11" s="7"/>
      <c r="S11" s="7"/>
      <c r="T11" s="7"/>
      <c r="U11" s="14"/>
      <c r="V11" s="21">
        <f t="shared" si="1"/>
        <v>2</v>
      </c>
      <c r="W11" s="4">
        <f t="shared" si="2"/>
        <v>0</v>
      </c>
      <c r="X11" s="4">
        <f t="shared" si="3"/>
        <v>1</v>
      </c>
      <c r="Y11" s="4">
        <f t="shared" si="4"/>
        <v>1</v>
      </c>
      <c r="Z11" s="4">
        <f t="shared" si="0"/>
        <v>2</v>
      </c>
      <c r="AA11" s="11">
        <f t="shared" si="5"/>
        <v>2</v>
      </c>
      <c r="AC11" t="s">
        <v>141</v>
      </c>
    </row>
    <row r="12" spans="1:33" x14ac:dyDescent="0.2">
      <c r="A12" s="35">
        <v>10</v>
      </c>
      <c r="B12" s="36" t="s">
        <v>8</v>
      </c>
      <c r="C12" s="5">
        <v>0.28725694444444444</v>
      </c>
      <c r="D12" s="6">
        <v>0.35416666666666669</v>
      </c>
      <c r="E12" s="4"/>
      <c r="F12" s="9">
        <v>0.68402777777777779</v>
      </c>
      <c r="G12" s="9">
        <v>0.72847222222222219</v>
      </c>
      <c r="H12" s="4"/>
      <c r="I12" s="15"/>
      <c r="J12" s="21"/>
      <c r="K12" s="4"/>
      <c r="L12" s="9"/>
      <c r="M12" s="4"/>
      <c r="N12" s="7"/>
      <c r="O12" s="14"/>
      <c r="P12" s="20"/>
      <c r="Q12" s="7"/>
      <c r="R12" s="7"/>
      <c r="S12" s="7"/>
      <c r="T12" s="7"/>
      <c r="U12" s="14"/>
      <c r="V12" s="21">
        <f t="shared" si="1"/>
        <v>0</v>
      </c>
      <c r="W12" s="4">
        <f t="shared" si="2"/>
        <v>1</v>
      </c>
      <c r="X12" s="4">
        <f t="shared" si="3"/>
        <v>0</v>
      </c>
      <c r="Y12" s="4">
        <f t="shared" si="4"/>
        <v>0</v>
      </c>
      <c r="Z12" s="4">
        <f t="shared" si="0"/>
        <v>1</v>
      </c>
      <c r="AA12" s="11">
        <f t="shared" si="5"/>
        <v>1</v>
      </c>
      <c r="AC12" t="s">
        <v>142</v>
      </c>
    </row>
    <row r="13" spans="1:33" x14ac:dyDescent="0.2">
      <c r="A13" s="35">
        <v>11</v>
      </c>
      <c r="B13" s="36" t="s">
        <v>12</v>
      </c>
      <c r="C13" s="5">
        <v>0.28741898148148148</v>
      </c>
      <c r="D13" s="6">
        <v>0.35416666666666669</v>
      </c>
      <c r="E13" s="7"/>
      <c r="F13" s="7"/>
      <c r="G13" s="6"/>
      <c r="H13" s="7"/>
      <c r="I13" s="14"/>
      <c r="J13" s="20"/>
      <c r="K13" s="7"/>
      <c r="L13" s="10"/>
      <c r="M13" s="6"/>
      <c r="N13" s="7"/>
      <c r="O13" s="14"/>
      <c r="P13" s="20"/>
      <c r="Q13" s="7"/>
      <c r="R13" s="7"/>
      <c r="S13" s="7"/>
      <c r="T13" s="7"/>
      <c r="U13" s="14"/>
      <c r="V13" s="21">
        <f t="shared" si="1"/>
        <v>0</v>
      </c>
      <c r="W13" s="4">
        <f t="shared" si="2"/>
        <v>0</v>
      </c>
      <c r="X13" s="4">
        <f t="shared" si="3"/>
        <v>0</v>
      </c>
      <c r="Y13" s="4">
        <f t="shared" si="4"/>
        <v>0</v>
      </c>
      <c r="Z13" s="4">
        <f t="shared" si="0"/>
        <v>0</v>
      </c>
      <c r="AA13" s="11">
        <f t="shared" si="5"/>
        <v>1</v>
      </c>
    </row>
    <row r="14" spans="1:33" ht="16" thickBot="1" x14ac:dyDescent="0.25">
      <c r="A14" s="37">
        <v>12</v>
      </c>
      <c r="B14" s="38" t="s">
        <v>9</v>
      </c>
      <c r="C14" s="32">
        <v>0.28753472222222221</v>
      </c>
      <c r="D14" s="17">
        <v>0.35416666666666669</v>
      </c>
      <c r="E14" s="18"/>
      <c r="F14" s="18"/>
      <c r="G14" s="17" t="s">
        <v>13</v>
      </c>
      <c r="H14" s="17">
        <v>0.62291666666666667</v>
      </c>
      <c r="I14" s="19">
        <v>0.6229513888888889</v>
      </c>
      <c r="J14" s="16">
        <v>0.63133101851851847</v>
      </c>
      <c r="K14" s="18"/>
      <c r="L14" s="18"/>
      <c r="M14" s="18"/>
      <c r="N14" s="18"/>
      <c r="O14" s="22"/>
      <c r="P14" s="23"/>
      <c r="Q14" s="18"/>
      <c r="R14" s="18"/>
      <c r="S14" s="18"/>
      <c r="T14" s="18"/>
      <c r="U14" s="22"/>
      <c r="V14" s="21">
        <f t="shared" si="1"/>
        <v>0</v>
      </c>
      <c r="W14" s="4">
        <f t="shared" si="2"/>
        <v>0</v>
      </c>
      <c r="X14" s="4">
        <f t="shared" si="3"/>
        <v>1</v>
      </c>
      <c r="Y14" s="4">
        <f t="shared" si="4"/>
        <v>1</v>
      </c>
      <c r="Z14" s="4">
        <f t="shared" si="0"/>
        <v>0</v>
      </c>
      <c r="AA14" s="11">
        <f t="shared" si="5"/>
        <v>2</v>
      </c>
    </row>
    <row r="15" spans="1:33" ht="16" thickBot="1" x14ac:dyDescent="0.25">
      <c r="V15" s="24">
        <f t="shared" ref="V15:Z15" si="6">SUM(V3:V14)</f>
        <v>16</v>
      </c>
      <c r="W15" s="25">
        <f t="shared" si="6"/>
        <v>3</v>
      </c>
      <c r="X15" s="25">
        <f t="shared" si="6"/>
        <v>12</v>
      </c>
      <c r="Y15" s="25">
        <f t="shared" si="6"/>
        <v>12</v>
      </c>
      <c r="Z15" s="25">
        <f t="shared" si="6"/>
        <v>12</v>
      </c>
      <c r="AA15" s="26">
        <f>SUM(AA3:AA14)</f>
        <v>24</v>
      </c>
    </row>
    <row r="18" spans="2:2" x14ac:dyDescent="0.2">
      <c r="B18" s="2"/>
    </row>
    <row r="20" spans="2:2" x14ac:dyDescent="0.2">
      <c r="B20" s="2"/>
    </row>
    <row r="24" spans="2:2" x14ac:dyDescent="0.2">
      <c r="B24" s="2"/>
    </row>
    <row r="25" spans="2:2" x14ac:dyDescent="0.2">
      <c r="B25" s="2"/>
    </row>
    <row r="28" spans="2:2" x14ac:dyDescent="0.2">
      <c r="B28" s="2"/>
    </row>
    <row r="30" spans="2:2" x14ac:dyDescent="0.2">
      <c r="B30" s="2"/>
    </row>
    <row r="32" spans="2:2" x14ac:dyDescent="0.2">
      <c r="B32" s="1"/>
    </row>
    <row r="33" spans="2:2" x14ac:dyDescent="0.2">
      <c r="B33" s="1"/>
    </row>
    <row r="35" spans="2:2" x14ac:dyDescent="0.2">
      <c r="B35" s="1"/>
    </row>
    <row r="36" spans="2:2" x14ac:dyDescent="0.2">
      <c r="B36" s="1"/>
    </row>
    <row r="38" spans="2:2" x14ac:dyDescent="0.2">
      <c r="B38" s="1"/>
    </row>
    <row r="41" spans="2:2" x14ac:dyDescent="0.2">
      <c r="B41" s="1"/>
    </row>
  </sheetData>
  <mergeCells count="5">
    <mergeCell ref="A1:B2"/>
    <mergeCell ref="V1:AA1"/>
    <mergeCell ref="J1:O1"/>
    <mergeCell ref="P1:U1"/>
    <mergeCell ref="C1:I1"/>
  </mergeCells>
  <conditionalFormatting sqref="D3:U14">
    <cfRule type="notContainsBlanks" dxfId="0" priority="1">
      <formula>LEN(TRIM(D3))&gt;0</formula>
    </cfRule>
  </conditionalFormatting>
  <conditionalFormatting sqref="V3:X14 Z3:Z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Z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AA47-AE15-214C-9B2C-8E4ADE4AC19E}">
  <dimension ref="A1:E43"/>
  <sheetViews>
    <sheetView workbookViewId="0">
      <selection activeCell="A47" sqref="A47:A57"/>
    </sheetView>
  </sheetViews>
  <sheetFormatPr baseColWidth="10" defaultRowHeight="15" x14ac:dyDescent="0.2"/>
  <cols>
    <col min="1" max="1" width="26.6640625" customWidth="1"/>
  </cols>
  <sheetData>
    <row r="1" spans="1:4" x14ac:dyDescent="0.2">
      <c r="A1" s="3" t="s">
        <v>95</v>
      </c>
      <c r="B1" s="3"/>
    </row>
    <row r="2" spans="1:4" x14ac:dyDescent="0.2">
      <c r="A2" s="3" t="s">
        <v>23</v>
      </c>
      <c r="B2" s="3" t="s">
        <v>24</v>
      </c>
    </row>
    <row r="3" spans="1:4" x14ac:dyDescent="0.2">
      <c r="A3" t="s">
        <v>82</v>
      </c>
      <c r="B3" t="s">
        <v>28</v>
      </c>
      <c r="C3" t="s">
        <v>131</v>
      </c>
    </row>
    <row r="4" spans="1:4" x14ac:dyDescent="0.2">
      <c r="A4" t="s">
        <v>83</v>
      </c>
      <c r="B4" t="s">
        <v>84</v>
      </c>
      <c r="C4" t="s">
        <v>131</v>
      </c>
    </row>
    <row r="5" spans="1:4" x14ac:dyDescent="0.2">
      <c r="A5" t="s">
        <v>85</v>
      </c>
      <c r="B5" t="s">
        <v>36</v>
      </c>
      <c r="C5" t="s">
        <v>131</v>
      </c>
    </row>
    <row r="6" spans="1:4" x14ac:dyDescent="0.2">
      <c r="A6" t="s">
        <v>86</v>
      </c>
      <c r="B6" t="s">
        <v>46</v>
      </c>
      <c r="C6" t="s">
        <v>131</v>
      </c>
    </row>
    <row r="7" spans="1:4" x14ac:dyDescent="0.2">
      <c r="A7" t="s">
        <v>87</v>
      </c>
      <c r="B7" t="s">
        <v>46</v>
      </c>
      <c r="C7" t="s">
        <v>131</v>
      </c>
    </row>
    <row r="8" spans="1:4" x14ac:dyDescent="0.2">
      <c r="A8" t="s">
        <v>88</v>
      </c>
      <c r="B8" t="s">
        <v>56</v>
      </c>
      <c r="C8" t="s">
        <v>131</v>
      </c>
    </row>
    <row r="9" spans="1:4" x14ac:dyDescent="0.2">
      <c r="A9" t="s">
        <v>89</v>
      </c>
      <c r="B9" t="s">
        <v>61</v>
      </c>
      <c r="C9" t="s">
        <v>131</v>
      </c>
    </row>
    <row r="10" spans="1:4" x14ac:dyDescent="0.2">
      <c r="A10" t="s">
        <v>90</v>
      </c>
      <c r="B10" t="s">
        <v>64</v>
      </c>
      <c r="C10" t="s">
        <v>131</v>
      </c>
    </row>
    <row r="11" spans="1:4" x14ac:dyDescent="0.2">
      <c r="A11" t="s">
        <v>91</v>
      </c>
      <c r="B11" t="s">
        <v>64</v>
      </c>
      <c r="C11" t="s">
        <v>131</v>
      </c>
    </row>
    <row r="12" spans="1:4" x14ac:dyDescent="0.2">
      <c r="A12" t="s">
        <v>92</v>
      </c>
      <c r="B12" t="s">
        <v>73</v>
      </c>
      <c r="C12" t="s">
        <v>131</v>
      </c>
    </row>
    <row r="13" spans="1:4" x14ac:dyDescent="0.2">
      <c r="A13" t="s">
        <v>93</v>
      </c>
      <c r="B13" t="s">
        <v>73</v>
      </c>
      <c r="C13" t="s">
        <v>131</v>
      </c>
    </row>
    <row r="14" spans="1:4" x14ac:dyDescent="0.2">
      <c r="A14" t="s">
        <v>94</v>
      </c>
      <c r="B14" t="s">
        <v>76</v>
      </c>
      <c r="C14" t="s">
        <v>131</v>
      </c>
    </row>
    <row r="16" spans="1:4" x14ac:dyDescent="0.2">
      <c r="A16" s="3" t="s">
        <v>96</v>
      </c>
      <c r="B16" s="3"/>
      <c r="C16" s="3"/>
      <c r="D16" s="3"/>
    </row>
    <row r="17" spans="1:5" x14ac:dyDescent="0.2">
      <c r="A17" s="3" t="s">
        <v>23</v>
      </c>
      <c r="B17" s="3" t="s">
        <v>24</v>
      </c>
      <c r="C17" s="3" t="s">
        <v>25</v>
      </c>
      <c r="D17" s="3" t="s">
        <v>26</v>
      </c>
    </row>
    <row r="18" spans="1:5" x14ac:dyDescent="0.2">
      <c r="A18" t="s">
        <v>27</v>
      </c>
      <c r="B18" t="s">
        <v>28</v>
      </c>
      <c r="C18" t="s">
        <v>29</v>
      </c>
      <c r="D18" t="s">
        <v>30</v>
      </c>
      <c r="E18" t="s">
        <v>131</v>
      </c>
    </row>
    <row r="19" spans="1:5" x14ac:dyDescent="0.2">
      <c r="A19" t="s">
        <v>31</v>
      </c>
      <c r="B19" t="s">
        <v>32</v>
      </c>
      <c r="C19" t="s">
        <v>33</v>
      </c>
      <c r="D19" t="s">
        <v>34</v>
      </c>
      <c r="E19" t="s">
        <v>131</v>
      </c>
    </row>
    <row r="20" spans="1:5" x14ac:dyDescent="0.2">
      <c r="A20" t="s">
        <v>35</v>
      </c>
      <c r="B20" t="s">
        <v>36</v>
      </c>
      <c r="C20" t="s">
        <v>29</v>
      </c>
      <c r="D20" t="s">
        <v>37</v>
      </c>
      <c r="E20" t="s">
        <v>131</v>
      </c>
    </row>
    <row r="21" spans="1:5" x14ac:dyDescent="0.2">
      <c r="A21" t="s">
        <v>38</v>
      </c>
      <c r="B21" t="s">
        <v>36</v>
      </c>
      <c r="C21" t="s">
        <v>29</v>
      </c>
      <c r="D21" t="s">
        <v>37</v>
      </c>
      <c r="E21" t="s">
        <v>132</v>
      </c>
    </row>
    <row r="22" spans="1:5" x14ac:dyDescent="0.2">
      <c r="A22" t="s">
        <v>39</v>
      </c>
      <c r="B22" t="s">
        <v>36</v>
      </c>
      <c r="C22" t="s">
        <v>33</v>
      </c>
      <c r="D22" t="s">
        <v>40</v>
      </c>
      <c r="E22" t="s">
        <v>131</v>
      </c>
    </row>
    <row r="23" spans="1:5" x14ac:dyDescent="0.2">
      <c r="A23" t="s">
        <v>41</v>
      </c>
      <c r="B23" t="s">
        <v>36</v>
      </c>
      <c r="C23" t="s">
        <v>29</v>
      </c>
      <c r="D23" t="s">
        <v>42</v>
      </c>
      <c r="E23" t="s">
        <v>131</v>
      </c>
    </row>
    <row r="24" spans="1:5" x14ac:dyDescent="0.2">
      <c r="A24" t="s">
        <v>43</v>
      </c>
      <c r="B24" t="s">
        <v>36</v>
      </c>
      <c r="C24" t="s">
        <v>33</v>
      </c>
      <c r="D24" t="s">
        <v>44</v>
      </c>
      <c r="E24" t="s">
        <v>131</v>
      </c>
    </row>
    <row r="25" spans="1:5" x14ac:dyDescent="0.2">
      <c r="A25" t="s">
        <v>45</v>
      </c>
      <c r="B25" t="s">
        <v>46</v>
      </c>
      <c r="C25" t="s">
        <v>29</v>
      </c>
      <c r="D25" t="s">
        <v>47</v>
      </c>
      <c r="E25" t="s">
        <v>131</v>
      </c>
    </row>
    <row r="26" spans="1:5" x14ac:dyDescent="0.2">
      <c r="A26" t="s">
        <v>48</v>
      </c>
      <c r="B26" t="s">
        <v>46</v>
      </c>
      <c r="C26" t="s">
        <v>29</v>
      </c>
      <c r="D26" t="s">
        <v>49</v>
      </c>
      <c r="E26" t="s">
        <v>132</v>
      </c>
    </row>
    <row r="27" spans="1:5" x14ac:dyDescent="0.2">
      <c r="A27" t="s">
        <v>50</v>
      </c>
      <c r="B27" t="s">
        <v>46</v>
      </c>
      <c r="C27" t="s">
        <v>29</v>
      </c>
      <c r="D27" t="s">
        <v>51</v>
      </c>
      <c r="E27" t="s">
        <v>131</v>
      </c>
    </row>
    <row r="28" spans="1:5" x14ac:dyDescent="0.2">
      <c r="A28" t="s">
        <v>52</v>
      </c>
      <c r="B28" t="s">
        <v>46</v>
      </c>
      <c r="C28" t="s">
        <v>29</v>
      </c>
      <c r="D28" t="s">
        <v>51</v>
      </c>
      <c r="E28" t="s">
        <v>132</v>
      </c>
    </row>
    <row r="29" spans="1:5" x14ac:dyDescent="0.2">
      <c r="A29" t="s">
        <v>53</v>
      </c>
      <c r="B29" t="s">
        <v>46</v>
      </c>
      <c r="C29" t="s">
        <v>29</v>
      </c>
      <c r="D29" t="s">
        <v>54</v>
      </c>
      <c r="E29" t="s">
        <v>131</v>
      </c>
    </row>
    <row r="30" spans="1:5" x14ac:dyDescent="0.2">
      <c r="A30" t="s">
        <v>55</v>
      </c>
      <c r="B30" t="s">
        <v>56</v>
      </c>
      <c r="C30" t="s">
        <v>29</v>
      </c>
      <c r="D30" t="s">
        <v>57</v>
      </c>
      <c r="E30" t="s">
        <v>131</v>
      </c>
    </row>
    <row r="31" spans="1:5" x14ac:dyDescent="0.2">
      <c r="A31" t="s">
        <v>58</v>
      </c>
      <c r="B31" t="s">
        <v>56</v>
      </c>
      <c r="C31" t="s">
        <v>29</v>
      </c>
      <c r="D31" t="s">
        <v>59</v>
      </c>
      <c r="E31" t="s">
        <v>131</v>
      </c>
    </row>
    <row r="32" spans="1:5" x14ac:dyDescent="0.2">
      <c r="A32" t="s">
        <v>60</v>
      </c>
      <c r="B32" t="s">
        <v>61</v>
      </c>
      <c r="C32" t="s">
        <v>29</v>
      </c>
      <c r="D32" t="s">
        <v>62</v>
      </c>
      <c r="E32" t="s">
        <v>131</v>
      </c>
    </row>
    <row r="33" spans="1:5" x14ac:dyDescent="0.2">
      <c r="A33" t="s">
        <v>63</v>
      </c>
      <c r="B33" t="s">
        <v>64</v>
      </c>
      <c r="C33" t="s">
        <v>29</v>
      </c>
      <c r="D33" t="s">
        <v>65</v>
      </c>
      <c r="E33" t="s">
        <v>131</v>
      </c>
    </row>
    <row r="34" spans="1:5" x14ac:dyDescent="0.2">
      <c r="A34" t="s">
        <v>66</v>
      </c>
      <c r="B34" t="s">
        <v>64</v>
      </c>
      <c r="C34" t="s">
        <v>29</v>
      </c>
      <c r="D34" t="s">
        <v>67</v>
      </c>
      <c r="E34" t="s">
        <v>131</v>
      </c>
    </row>
    <row r="35" spans="1:5" x14ac:dyDescent="0.2">
      <c r="A35" t="s">
        <v>68</v>
      </c>
      <c r="B35" t="s">
        <v>64</v>
      </c>
      <c r="C35" t="s">
        <v>29</v>
      </c>
      <c r="D35" t="s">
        <v>67</v>
      </c>
      <c r="E35" t="s">
        <v>132</v>
      </c>
    </row>
    <row r="36" spans="1:5" x14ac:dyDescent="0.2">
      <c r="A36" t="s">
        <v>69</v>
      </c>
      <c r="B36" t="s">
        <v>64</v>
      </c>
      <c r="C36" t="s">
        <v>29</v>
      </c>
      <c r="D36" t="s">
        <v>70</v>
      </c>
      <c r="E36" t="s">
        <v>131</v>
      </c>
    </row>
    <row r="37" spans="1:5" x14ac:dyDescent="0.2">
      <c r="A37" t="s">
        <v>71</v>
      </c>
      <c r="B37" t="s">
        <v>64</v>
      </c>
      <c r="C37" t="s">
        <v>29</v>
      </c>
      <c r="D37" t="s">
        <v>70</v>
      </c>
      <c r="E37" t="s">
        <v>132</v>
      </c>
    </row>
    <row r="38" spans="1:5" x14ac:dyDescent="0.2">
      <c r="A38" t="s">
        <v>72</v>
      </c>
      <c r="B38" t="s">
        <v>73</v>
      </c>
      <c r="C38" t="s">
        <v>29</v>
      </c>
      <c r="D38" t="s">
        <v>74</v>
      </c>
      <c r="E38" t="s">
        <v>131</v>
      </c>
    </row>
    <row r="39" spans="1:5" x14ac:dyDescent="0.2">
      <c r="A39" t="s">
        <v>75</v>
      </c>
      <c r="B39" t="s">
        <v>76</v>
      </c>
      <c r="C39" t="s">
        <v>29</v>
      </c>
      <c r="D39" t="s">
        <v>77</v>
      </c>
      <c r="E39" t="s">
        <v>131</v>
      </c>
    </row>
    <row r="40" spans="1:5" x14ac:dyDescent="0.2">
      <c r="A40" t="s">
        <v>78</v>
      </c>
      <c r="B40" t="s">
        <v>76</v>
      </c>
      <c r="C40" t="s">
        <v>29</v>
      </c>
      <c r="D40" t="s">
        <v>79</v>
      </c>
      <c r="E40" t="s">
        <v>132</v>
      </c>
    </row>
    <row r="41" spans="1:5" x14ac:dyDescent="0.2">
      <c r="A41" t="s">
        <v>80</v>
      </c>
      <c r="B41" t="s">
        <v>76</v>
      </c>
      <c r="C41" t="s">
        <v>29</v>
      </c>
      <c r="D41" t="s">
        <v>81</v>
      </c>
      <c r="E41" t="s">
        <v>131</v>
      </c>
    </row>
    <row r="43" spans="1:5" x14ac:dyDescent="0.2">
      <c r="A43" t="s">
        <v>145</v>
      </c>
      <c r="B43" t="s">
        <v>28</v>
      </c>
      <c r="C43" t="s">
        <v>29</v>
      </c>
      <c r="D43" t="s">
        <v>144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90B79-BCE3-E240-A565-C0E680CEA961}">
  <dimension ref="A1:B31"/>
  <sheetViews>
    <sheetView workbookViewId="0">
      <selection activeCell="A18" sqref="A18:B31"/>
    </sheetView>
  </sheetViews>
  <sheetFormatPr baseColWidth="10" defaultRowHeight="15" x14ac:dyDescent="0.2"/>
  <cols>
    <col min="1" max="1" width="31" customWidth="1"/>
  </cols>
  <sheetData>
    <row r="1" spans="1:2" x14ac:dyDescent="0.2">
      <c r="A1" t="s">
        <v>129</v>
      </c>
    </row>
    <row r="2" spans="1:2" x14ac:dyDescent="0.2">
      <c r="A2" t="s">
        <v>100</v>
      </c>
      <c r="B2" t="s">
        <v>114</v>
      </c>
    </row>
    <row r="3" spans="1:2" x14ac:dyDescent="0.2">
      <c r="A3" t="s">
        <v>113</v>
      </c>
      <c r="B3">
        <v>16537</v>
      </c>
    </row>
    <row r="4" spans="1:2" x14ac:dyDescent="0.2">
      <c r="A4" t="s">
        <v>104</v>
      </c>
      <c r="B4">
        <v>11428</v>
      </c>
    </row>
    <row r="5" spans="1:2" x14ac:dyDescent="0.2">
      <c r="A5" t="s">
        <v>105</v>
      </c>
      <c r="B5">
        <v>55</v>
      </c>
    </row>
    <row r="6" spans="1:2" x14ac:dyDescent="0.2">
      <c r="A6" t="s">
        <v>106</v>
      </c>
      <c r="B6">
        <v>60</v>
      </c>
    </row>
    <row r="7" spans="1:2" x14ac:dyDescent="0.2">
      <c r="A7" t="s">
        <v>107</v>
      </c>
      <c r="B7">
        <v>58</v>
      </c>
    </row>
    <row r="8" spans="1:2" x14ac:dyDescent="0.2">
      <c r="A8" t="s">
        <v>108</v>
      </c>
      <c r="B8">
        <v>109</v>
      </c>
    </row>
    <row r="9" spans="1:2" x14ac:dyDescent="0.2">
      <c r="A9" t="s">
        <v>109</v>
      </c>
      <c r="B9">
        <v>721</v>
      </c>
    </row>
    <row r="10" spans="1:2" x14ac:dyDescent="0.2">
      <c r="A10" t="s">
        <v>110</v>
      </c>
      <c r="B10">
        <v>198</v>
      </c>
    </row>
    <row r="11" spans="1:2" x14ac:dyDescent="0.2">
      <c r="A11" t="s">
        <v>111</v>
      </c>
      <c r="B11">
        <v>61</v>
      </c>
    </row>
    <row r="12" spans="1:2" x14ac:dyDescent="0.2">
      <c r="A12" t="s">
        <v>112</v>
      </c>
      <c r="B12">
        <v>260</v>
      </c>
    </row>
    <row r="13" spans="1:2" x14ac:dyDescent="0.2">
      <c r="A13" t="s">
        <v>101</v>
      </c>
      <c r="B13">
        <v>98</v>
      </c>
    </row>
    <row r="14" spans="1:2" x14ac:dyDescent="0.2">
      <c r="A14" t="s">
        <v>102</v>
      </c>
      <c r="B14">
        <v>1549</v>
      </c>
    </row>
    <row r="15" spans="1:2" x14ac:dyDescent="0.2">
      <c r="A15" t="s">
        <v>103</v>
      </c>
      <c r="B15">
        <v>1423</v>
      </c>
    </row>
    <row r="17" spans="1:2" x14ac:dyDescent="0.2">
      <c r="A17" t="s">
        <v>128</v>
      </c>
    </row>
    <row r="18" spans="1:2" x14ac:dyDescent="0.2">
      <c r="A18" t="s">
        <v>100</v>
      </c>
      <c r="B18" t="s">
        <v>114</v>
      </c>
    </row>
    <row r="19" spans="1:2" x14ac:dyDescent="0.2">
      <c r="A19" t="s">
        <v>127</v>
      </c>
      <c r="B19">
        <v>8322</v>
      </c>
    </row>
    <row r="20" spans="1:2" x14ac:dyDescent="0.2">
      <c r="A20" t="s">
        <v>118</v>
      </c>
      <c r="B20">
        <v>7338</v>
      </c>
    </row>
    <row r="21" spans="1:2" x14ac:dyDescent="0.2">
      <c r="A21" t="s">
        <v>119</v>
      </c>
      <c r="B21">
        <v>12</v>
      </c>
    </row>
    <row r="22" spans="1:2" x14ac:dyDescent="0.2">
      <c r="A22" t="s">
        <v>120</v>
      </c>
      <c r="B22">
        <v>14</v>
      </c>
    </row>
    <row r="23" spans="1:2" x14ac:dyDescent="0.2">
      <c r="A23" t="s">
        <v>121</v>
      </c>
      <c r="B23">
        <v>11</v>
      </c>
    </row>
    <row r="24" spans="1:2" x14ac:dyDescent="0.2">
      <c r="A24" t="s">
        <v>122</v>
      </c>
      <c r="B24">
        <v>10</v>
      </c>
    </row>
    <row r="25" spans="1:2" x14ac:dyDescent="0.2">
      <c r="A25" t="s">
        <v>123</v>
      </c>
      <c r="B25">
        <v>11</v>
      </c>
    </row>
    <row r="26" spans="1:2" x14ac:dyDescent="0.2">
      <c r="A26" t="s">
        <v>124</v>
      </c>
      <c r="B26">
        <v>90</v>
      </c>
    </row>
    <row r="27" spans="1:2" x14ac:dyDescent="0.2">
      <c r="A27" t="s">
        <v>125</v>
      </c>
      <c r="B27">
        <v>15</v>
      </c>
    </row>
    <row r="28" spans="1:2" x14ac:dyDescent="0.2">
      <c r="A28" t="s">
        <v>126</v>
      </c>
      <c r="B28">
        <v>125</v>
      </c>
    </row>
    <row r="29" spans="1:2" x14ac:dyDescent="0.2">
      <c r="A29" t="s">
        <v>115</v>
      </c>
      <c r="B29">
        <v>16</v>
      </c>
    </row>
    <row r="30" spans="1:2" x14ac:dyDescent="0.2">
      <c r="A30" t="s">
        <v>116</v>
      </c>
      <c r="B30">
        <v>8</v>
      </c>
    </row>
    <row r="31" spans="1:2" x14ac:dyDescent="0.2">
      <c r="A31" t="s">
        <v>117</v>
      </c>
      <c r="B31">
        <v>404</v>
      </c>
    </row>
  </sheetData>
  <conditionalFormatting sqref="B3:B15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{0CA6D114-A5FF-044B-B1BE-2894E4426505}</x14:id>
        </ext>
      </extLst>
    </cfRule>
  </conditionalFormatting>
  <conditionalFormatting sqref="B19:B3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{A77C2236-F3EB-5545-AC66-9A4B96B7B8A3}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A6D114-A5FF-044B-B1BE-2894E44265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B3:B15</xm:sqref>
        </x14:conditionalFormatting>
        <x14:conditionalFormatting xmlns:xm="http://schemas.microsoft.com/office/excel/2006/main">
          <x14:cfRule type="dataBar" id="{A77C2236-F3EB-5545-AC66-9A4B96B7B8A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B19:B31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Events</vt:lpstr>
      <vt:lpstr>RAW from DB</vt:lpstr>
      <vt:lpstr>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Schuster Felix</dc:creator>
  <cp:lastModifiedBy>Kern Manuel</cp:lastModifiedBy>
  <dcterms:created xsi:type="dcterms:W3CDTF">2015-06-05T18:19:34Z</dcterms:created>
  <dcterms:modified xsi:type="dcterms:W3CDTF">2025-12-15T11:48:18Z</dcterms:modified>
</cp:coreProperties>
</file>