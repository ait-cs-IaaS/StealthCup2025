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nuel/Documents/projects/_dis-dev/StealthCup2025/docs/ScientificApplication/"/>
    </mc:Choice>
  </mc:AlternateContent>
  <xr:revisionPtr revIDLastSave="0" documentId="13_ncr:1_{8004670A-609A-E74A-8FB3-9D13CCBCEB2A}" xr6:coauthVersionLast="47" xr6:coauthVersionMax="47" xr10:uidLastSave="{00000000-0000-0000-0000-000000000000}"/>
  <bookViews>
    <workbookView xWindow="35080" yWindow="3420" windowWidth="36920" windowHeight="23580" xr2:uid="{9F43362D-511F-4C84-B837-B801DFF493D3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4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2" i="1"/>
  <c r="G55" i="1"/>
  <c r="E56" i="1"/>
  <c r="G56" i="1"/>
  <c r="H56" i="1"/>
  <c r="I56" i="1"/>
  <c r="J56" i="1"/>
  <c r="K56" i="1"/>
  <c r="L56" i="1"/>
  <c r="M56" i="1"/>
  <c r="N56" i="1"/>
  <c r="O56" i="1"/>
  <c r="P56" i="1"/>
  <c r="Q56" i="1"/>
  <c r="R56" i="1"/>
  <c r="S56" i="1"/>
  <c r="D56" i="1"/>
  <c r="C56" i="1"/>
  <c r="E55" i="1"/>
  <c r="H55" i="1"/>
  <c r="I55" i="1"/>
  <c r="J55" i="1"/>
  <c r="K55" i="1"/>
  <c r="L55" i="1"/>
  <c r="M55" i="1"/>
  <c r="N55" i="1"/>
  <c r="O55" i="1"/>
  <c r="P55" i="1"/>
  <c r="Q55" i="1"/>
  <c r="R55" i="1"/>
  <c r="S55" i="1"/>
  <c r="D55" i="1"/>
  <c r="F55" i="1" l="1"/>
  <c r="F56" i="1"/>
</calcChain>
</file>

<file path=xl/sharedStrings.xml><?xml version="1.0" encoding="utf-8"?>
<sst xmlns="http://schemas.openxmlformats.org/spreadsheetml/2006/main" count="396" uniqueCount="84">
  <si>
    <t>Tactic</t>
  </si>
  <si>
    <t>Technique</t>
  </si>
  <si>
    <t>Volt Typhoon</t>
  </si>
  <si>
    <t>Command and Scripting Interpreter: PowerShell - T1059.001 </t>
  </si>
  <si>
    <t>x</t>
  </si>
  <si>
    <t>Windows Management Instrumentation - T1047</t>
  </si>
  <si>
    <t>Command and Scripting Interpreter: Unix Shell - T1059.004</t>
  </si>
  <si>
    <t>Execution</t>
  </si>
  <si>
    <t>Persistence</t>
  </si>
  <si>
    <t>Modify Registry - T1112</t>
  </si>
  <si>
    <t>Create Account: Domain Account - T1136.002</t>
  </si>
  <si>
    <t>Exploitation for Privilege Escalation - T1068 </t>
  </si>
  <si>
    <t>Privilege Escalation</t>
  </si>
  <si>
    <t>Scheduled Task/Job: Scheduled Task - T1053.005</t>
  </si>
  <si>
    <t>Steal or Forge Kerberos Tickets: AS-REP Roasting - T1558.004</t>
  </si>
  <si>
    <t>Credential Access</t>
  </si>
  <si>
    <t>Brute Force: Password Cracking - T1110.002</t>
  </si>
  <si>
    <t>Steal or Forge Kerberos Tickets: Kerberoasting - T1558.003</t>
  </si>
  <si>
    <t>OS Credential Dumping: NTDS - T1003.003</t>
  </si>
  <si>
    <t>Unsecured Credentials - T1552</t>
  </si>
  <si>
    <t>Credentials from Password Stores: Credentials from Web Browsers - T1555.003</t>
  </si>
  <si>
    <t>T1557.001 - Adversary-in-the-Middle: LLMNR/NBT-NS Poisoning and SMB Relay</t>
  </si>
  <si>
    <t>Steal or Forge Authentication Certificates - T1649</t>
  </si>
  <si>
    <t>Credentials from Password Stores: Password Managers - T1555.005</t>
  </si>
  <si>
    <t>Network Service Discovery - T1046</t>
  </si>
  <si>
    <t>Remote System Discovery - T1018</t>
  </si>
  <si>
    <t>Account Discovery: Domain Account - T1087.002</t>
  </si>
  <si>
    <t>Connection Proxy - T1090.002</t>
  </si>
  <si>
    <t>System Owner/User Discovery - T1033</t>
  </si>
  <si>
    <t>System Network Configuration Discovery - T1016</t>
  </si>
  <si>
    <t>Permission Groups Discovery - T1069</t>
  </si>
  <si>
    <t>Indicator Removal: File Deletion - T1070.004</t>
  </si>
  <si>
    <t>Application Window Discovery - T1010</t>
  </si>
  <si>
    <t>System Service Discovery - T1007</t>
  </si>
  <si>
    <t>Account Discovery: Local Account - T1087.001</t>
  </si>
  <si>
    <t>Discovery</t>
  </si>
  <si>
    <t>Use Alternate Authentication Material: Pass-the-Hash - T1550.002</t>
  </si>
  <si>
    <t>Remote Services: SMB/Windows Admin Shares - T1021.002</t>
  </si>
  <si>
    <t>Remote Services: Remote Desktop Protocol - T1021.001</t>
  </si>
  <si>
    <t>Use Alternate Authentication Material: Pass the Ticket - T1550.003</t>
  </si>
  <si>
    <t>Remote Service Session Hijacking - T1563</t>
  </si>
  <si>
    <t>Remote Services: Cloud Services - T1021.007</t>
  </si>
  <si>
    <t>Remote Services: Windows Remote Management - T1021.006</t>
  </si>
  <si>
    <t>Lateral Movement</t>
  </si>
  <si>
    <t>Reconaissance</t>
  </si>
  <si>
    <t>Search Victim-Owned Websites - T1594</t>
  </si>
  <si>
    <t>Gather Victim Identity Information: Email Addresses - T1589.002</t>
  </si>
  <si>
    <t>Gather Victim Org Information - T1591</t>
  </si>
  <si>
    <t>Gather Victim Network Information - T1590</t>
  </si>
  <si>
    <t>Gather Victim Identity Information - T1589</t>
  </si>
  <si>
    <t>Search Open Websites/Domains - T1593</t>
  </si>
  <si>
    <t>Gather Victim Host Information - T1592</t>
  </si>
  <si>
    <t>Resource Development</t>
  </si>
  <si>
    <t>Obtain Capabilities: Exploits - T1588.005</t>
  </si>
  <si>
    <t>Acquire Infrastructure: Botnet - T1583.005</t>
  </si>
  <si>
    <t>Compromise Infrastructure: Botnet - T1584.005</t>
  </si>
  <si>
    <t>Compromise Infrastructure: Server - T1584.004</t>
  </si>
  <si>
    <t>External Remote Services - T1133</t>
  </si>
  <si>
    <t>Initial Access</t>
  </si>
  <si>
    <t>Valid Accounts - T1078</t>
  </si>
  <si>
    <t>Exploit Public-Facing Application - T1190</t>
  </si>
  <si>
    <t>File and Directory Discovery - T1083</t>
  </si>
  <si>
    <t>Account Manipulation: Additional Local or Domain Groups - T1098.007</t>
  </si>
  <si>
    <t>Remote Services: SSH - T1021.004</t>
  </si>
  <si>
    <t>Process Discovery - T1057</t>
  </si>
  <si>
    <t>Command and Scripting Interpreter: Windows Command Shell - T1059.003</t>
  </si>
  <si>
    <t>applicable in our infrastructure</t>
  </si>
  <si>
    <t>team 2 writeup</t>
  </si>
  <si>
    <t>team 3 writeup</t>
  </si>
  <si>
    <t>team 4 writeup 1</t>
  </si>
  <si>
    <t>team 4 writeup 2</t>
  </si>
  <si>
    <t>team 6 writeup</t>
  </si>
  <si>
    <t>team 7 writeup 1</t>
  </si>
  <si>
    <t>team 7 writeup 2</t>
  </si>
  <si>
    <t>team 8 writeup</t>
  </si>
  <si>
    <t>team 9 writeup 1</t>
  </si>
  <si>
    <t>team 9 writeup 2</t>
  </si>
  <si>
    <t>team 10 writeup 2</t>
  </si>
  <si>
    <t>team 10 writeup 1</t>
  </si>
  <si>
    <t>team 12 writeup</t>
  </si>
  <si>
    <t>indication that technique was used in collected data</t>
  </si>
  <si>
    <t>Sum of techniques</t>
  </si>
  <si>
    <t>Sum of Volt Typhon Applicable / or used</t>
  </si>
  <si>
    <t>used within writeup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</si>
</sst>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9"/>
      <color rgb="FF000000"/>
      <name val="Helvetica"/>
      <family val="2"/>
    </font>
    <font>
      <b/>
      <sz val="11"/>
      <color theme="1"/>
      <name val="Aptos Narrow"/>
      <scheme val="minor"/>
    </font>
    <font>
      <b/>
      <sz val="1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indexed="65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9" fontId="0" fillId="0" borderId="0" xfId="0" applyNumberFormat="1"/>
    <xf numFmtId="0" fontId="0" fillId="0" borderId="0" xfId="0" applyAlignment="1">
      <alignment horizontal="left" vertical="center"/>
    </xf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2" fillId="2" borderId="4" xfId="0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8" xfId="0" applyFont="1" applyFill="1" applyBorder="1" applyAlignment="1">
      <alignment horizontal="left"/>
    </xf>
    <xf numFmtId="0" fontId="3" fillId="2" borderId="9" xfId="0" applyFont="1" applyFill="1" applyBorder="1" applyAlignment="1">
      <alignment horizontal="left"/>
    </xf>
    <xf numFmtId="0" fontId="0" fillId="2" borderId="1" xfId="0" applyFill="1" applyBorder="1" applyAlignment="1">
      <alignment horizontal="left" vertical="center"/>
    </xf>
    <xf numFmtId="0" fontId="1" fillId="2" borderId="3" xfId="0" applyFont="1" applyFill="1" applyBorder="1"/>
    <xf numFmtId="0" fontId="0" fillId="2" borderId="10" xfId="0" applyFill="1" applyBorder="1" applyAlignment="1">
      <alignment horizontal="left" vertical="center"/>
    </xf>
    <xf numFmtId="0" fontId="1" fillId="2" borderId="11" xfId="0" applyFont="1" applyFill="1" applyBorder="1"/>
    <xf numFmtId="0" fontId="0" fillId="2" borderId="4" xfId="0" applyFill="1" applyBorder="1" applyAlignment="1">
      <alignment horizontal="left" vertical="center"/>
    </xf>
    <xf numFmtId="0" fontId="1" fillId="2" borderId="6" xfId="0" applyFont="1" applyFill="1" applyBorder="1"/>
    <xf numFmtId="0" fontId="0" fillId="3" borderId="2" xfId="0" applyFill="1" applyBorder="1"/>
    <xf numFmtId="0" fontId="0" fillId="3" borderId="2" xfId="0" applyFill="1" applyBorder="1" applyAlignment="1">
      <alignment horizontal="center"/>
    </xf>
    <xf numFmtId="0" fontId="0" fillId="3" borderId="3" xfId="0" applyFill="1" applyBorder="1"/>
    <xf numFmtId="0" fontId="0" fillId="3" borderId="0" xfId="0" applyFill="1" applyBorder="1"/>
    <xf numFmtId="0" fontId="0" fillId="3" borderId="0" xfId="0" applyFill="1" applyBorder="1" applyAlignment="1">
      <alignment horizontal="center"/>
    </xf>
    <xf numFmtId="0" fontId="0" fillId="3" borderId="11" xfId="0" applyFill="1" applyBorder="1"/>
    <xf numFmtId="0" fontId="0" fillId="3" borderId="5" xfId="0" applyFill="1" applyBorder="1"/>
    <xf numFmtId="0" fontId="0" fillId="3" borderId="5" xfId="0" applyFill="1" applyBorder="1" applyAlignment="1">
      <alignment horizontal="center"/>
    </xf>
    <xf numFmtId="0" fontId="0" fillId="3" borderId="6" xfId="0" applyFill="1" applyBorder="1"/>
  </cellXfs>
  <cellStyles count="1">
    <cellStyle name="Normal" xfId="0" builtinId="0"/>
  </cellStyles>
  <dxfs count="1">
    <dxf>
      <fill>
        <patternFill>
          <bgColor theme="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103BD-DA90-489E-BFBF-C9B0D08F7F08}">
  <dimension ref="A1:AC56"/>
  <sheetViews>
    <sheetView tabSelected="1" topLeftCell="E1" workbookViewId="0">
      <selection activeCell="S56" sqref="A1:S56"/>
    </sheetView>
  </sheetViews>
  <sheetFormatPr baseColWidth="10" defaultColWidth="11.5" defaultRowHeight="15" x14ac:dyDescent="0.2"/>
  <cols>
    <col min="1" max="1" width="23" customWidth="1"/>
    <col min="2" max="2" width="57.5" customWidth="1"/>
    <col min="3" max="3" width="11.5" customWidth="1"/>
    <col min="4" max="4" width="23.1640625" customWidth="1"/>
    <col min="5" max="5" width="19.1640625" bestFit="1" customWidth="1"/>
    <col min="7" max="19" width="16.1640625" customWidth="1"/>
    <col min="28" max="28" width="27.5" customWidth="1"/>
    <col min="29" max="29" width="105.83203125" customWidth="1"/>
  </cols>
  <sheetData>
    <row r="1" spans="1:29" ht="16" thickBot="1" x14ac:dyDescent="0.25">
      <c r="A1" s="9" t="s">
        <v>0</v>
      </c>
      <c r="B1" s="10" t="s">
        <v>1</v>
      </c>
      <c r="C1" s="10" t="s">
        <v>2</v>
      </c>
      <c r="D1" s="11" t="s">
        <v>66</v>
      </c>
      <c r="E1" s="11" t="s">
        <v>80</v>
      </c>
      <c r="F1" s="11" t="s">
        <v>83</v>
      </c>
      <c r="G1" s="11" t="s">
        <v>67</v>
      </c>
      <c r="H1" s="11" t="s">
        <v>68</v>
      </c>
      <c r="I1" s="11" t="s">
        <v>69</v>
      </c>
      <c r="J1" s="11" t="s">
        <v>70</v>
      </c>
      <c r="K1" s="11" t="s">
        <v>71</v>
      </c>
      <c r="L1" s="11" t="s">
        <v>72</v>
      </c>
      <c r="M1" s="11" t="s">
        <v>73</v>
      </c>
      <c r="N1" s="11" t="s">
        <v>74</v>
      </c>
      <c r="O1" s="11" t="s">
        <v>75</v>
      </c>
      <c r="P1" s="11" t="s">
        <v>76</v>
      </c>
      <c r="Q1" s="11" t="s">
        <v>78</v>
      </c>
      <c r="R1" s="11" t="s">
        <v>77</v>
      </c>
      <c r="S1" s="12" t="s">
        <v>79</v>
      </c>
    </row>
    <row r="2" spans="1:29" x14ac:dyDescent="0.2">
      <c r="A2" s="13" t="s">
        <v>44</v>
      </c>
      <c r="B2" s="14" t="s">
        <v>45</v>
      </c>
      <c r="C2" s="19" t="s">
        <v>4</v>
      </c>
      <c r="D2" s="19" t="s">
        <v>4</v>
      </c>
      <c r="E2" s="19" t="s">
        <v>4</v>
      </c>
      <c r="F2" s="20">
        <f>COUNTIF(G2:S2,"*")</f>
        <v>9</v>
      </c>
      <c r="G2" s="19"/>
      <c r="H2" s="19" t="s">
        <v>4</v>
      </c>
      <c r="I2" s="19"/>
      <c r="J2" s="19" t="s">
        <v>4</v>
      </c>
      <c r="K2" s="19" t="s">
        <v>4</v>
      </c>
      <c r="L2" s="19" t="s">
        <v>4</v>
      </c>
      <c r="M2" s="19" t="s">
        <v>4</v>
      </c>
      <c r="N2" s="19"/>
      <c r="O2" s="19" t="s">
        <v>4</v>
      </c>
      <c r="P2" s="19" t="s">
        <v>4</v>
      </c>
      <c r="Q2" s="19" t="s">
        <v>4</v>
      </c>
      <c r="R2" s="19"/>
      <c r="S2" s="21" t="s">
        <v>4</v>
      </c>
      <c r="AB2" s="1"/>
    </row>
    <row r="3" spans="1:29" x14ac:dyDescent="0.2">
      <c r="A3" s="15"/>
      <c r="B3" s="16" t="s">
        <v>46</v>
      </c>
      <c r="C3" s="22" t="s">
        <v>4</v>
      </c>
      <c r="D3" s="22" t="s">
        <v>4</v>
      </c>
      <c r="E3" s="22" t="s">
        <v>4</v>
      </c>
      <c r="F3" s="23">
        <f t="shared" ref="F3:F53" si="0">COUNTIF(G3:S3,"*")</f>
        <v>9</v>
      </c>
      <c r="G3" s="22"/>
      <c r="H3" s="22" t="s">
        <v>4</v>
      </c>
      <c r="I3" s="22"/>
      <c r="J3" s="22" t="s">
        <v>4</v>
      </c>
      <c r="K3" s="22" t="s">
        <v>4</v>
      </c>
      <c r="L3" s="22" t="s">
        <v>4</v>
      </c>
      <c r="M3" s="22" t="s">
        <v>4</v>
      </c>
      <c r="N3" s="22"/>
      <c r="O3" s="22" t="s">
        <v>4</v>
      </c>
      <c r="P3" s="22" t="s">
        <v>4</v>
      </c>
      <c r="Q3" s="22" t="s">
        <v>4</v>
      </c>
      <c r="R3" s="22"/>
      <c r="S3" s="24" t="s">
        <v>4</v>
      </c>
      <c r="AB3" s="1"/>
    </row>
    <row r="4" spans="1:29" x14ac:dyDescent="0.2">
      <c r="A4" s="15"/>
      <c r="B4" s="16" t="s">
        <v>47</v>
      </c>
      <c r="C4" s="22" t="s">
        <v>4</v>
      </c>
      <c r="D4" s="22"/>
      <c r="E4" s="22"/>
      <c r="F4" s="23">
        <f t="shared" si="0"/>
        <v>0</v>
      </c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4"/>
      <c r="AB4" s="1"/>
      <c r="AC4" s="2"/>
    </row>
    <row r="5" spans="1:29" x14ac:dyDescent="0.2">
      <c r="A5" s="15"/>
      <c r="B5" s="16" t="s">
        <v>48</v>
      </c>
      <c r="C5" s="22" t="s">
        <v>4</v>
      </c>
      <c r="D5" s="22"/>
      <c r="E5" s="22"/>
      <c r="F5" s="23">
        <f t="shared" si="0"/>
        <v>0</v>
      </c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4"/>
      <c r="AB5" s="1"/>
      <c r="AC5" s="2"/>
    </row>
    <row r="6" spans="1:29" x14ac:dyDescent="0.2">
      <c r="A6" s="15"/>
      <c r="B6" s="16" t="s">
        <v>49</v>
      </c>
      <c r="C6" s="22" t="s">
        <v>4</v>
      </c>
      <c r="D6" s="22" t="s">
        <v>4</v>
      </c>
      <c r="E6" s="22" t="s">
        <v>4</v>
      </c>
      <c r="F6" s="23">
        <f t="shared" si="0"/>
        <v>9</v>
      </c>
      <c r="G6" s="22"/>
      <c r="H6" s="22" t="s">
        <v>4</v>
      </c>
      <c r="I6" s="22"/>
      <c r="J6" s="22" t="s">
        <v>4</v>
      </c>
      <c r="K6" s="22" t="s">
        <v>4</v>
      </c>
      <c r="L6" s="22" t="s">
        <v>4</v>
      </c>
      <c r="M6" s="22" t="s">
        <v>4</v>
      </c>
      <c r="N6" s="22"/>
      <c r="O6" s="22" t="s">
        <v>4</v>
      </c>
      <c r="P6" s="22" t="s">
        <v>4</v>
      </c>
      <c r="Q6" s="22" t="s">
        <v>4</v>
      </c>
      <c r="R6" s="22"/>
      <c r="S6" s="24" t="s">
        <v>4</v>
      </c>
      <c r="AB6" s="1"/>
      <c r="AC6" s="2"/>
    </row>
    <row r="7" spans="1:29" x14ac:dyDescent="0.2">
      <c r="A7" s="15"/>
      <c r="B7" s="16" t="s">
        <v>50</v>
      </c>
      <c r="C7" s="22" t="s">
        <v>4</v>
      </c>
      <c r="D7" s="22" t="s">
        <v>4</v>
      </c>
      <c r="E7" s="22" t="s">
        <v>4</v>
      </c>
      <c r="F7" s="23">
        <f t="shared" si="0"/>
        <v>9</v>
      </c>
      <c r="G7" s="22"/>
      <c r="H7" s="22" t="s">
        <v>4</v>
      </c>
      <c r="I7" s="22"/>
      <c r="J7" s="22" t="s">
        <v>4</v>
      </c>
      <c r="K7" s="22" t="s">
        <v>4</v>
      </c>
      <c r="L7" s="22" t="s">
        <v>4</v>
      </c>
      <c r="M7" s="22" t="s">
        <v>4</v>
      </c>
      <c r="N7" s="22"/>
      <c r="O7" s="22" t="s">
        <v>4</v>
      </c>
      <c r="P7" s="22" t="s">
        <v>4</v>
      </c>
      <c r="Q7" s="22" t="s">
        <v>4</v>
      </c>
      <c r="R7" s="22"/>
      <c r="S7" s="24" t="s">
        <v>4</v>
      </c>
      <c r="AC7" s="2"/>
    </row>
    <row r="8" spans="1:29" x14ac:dyDescent="0.2">
      <c r="A8" s="15"/>
      <c r="B8" s="16" t="s">
        <v>51</v>
      </c>
      <c r="C8" s="22" t="s">
        <v>4</v>
      </c>
      <c r="D8" s="22"/>
      <c r="E8" s="22"/>
      <c r="F8" s="23">
        <f t="shared" si="0"/>
        <v>0</v>
      </c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4"/>
      <c r="AC8" s="2"/>
    </row>
    <row r="9" spans="1:29" x14ac:dyDescent="0.2">
      <c r="A9" s="15" t="s">
        <v>52</v>
      </c>
      <c r="B9" s="16" t="s">
        <v>53</v>
      </c>
      <c r="C9" s="22" t="s">
        <v>4</v>
      </c>
      <c r="D9" s="22" t="s">
        <v>4</v>
      </c>
      <c r="E9" s="22" t="s">
        <v>4</v>
      </c>
      <c r="F9" s="23">
        <f t="shared" si="0"/>
        <v>12</v>
      </c>
      <c r="G9" s="22" t="s">
        <v>4</v>
      </c>
      <c r="H9" s="22" t="s">
        <v>4</v>
      </c>
      <c r="I9" s="22" t="s">
        <v>4</v>
      </c>
      <c r="J9" s="22" t="s">
        <v>4</v>
      </c>
      <c r="K9" s="22" t="s">
        <v>4</v>
      </c>
      <c r="L9" s="22" t="s">
        <v>4</v>
      </c>
      <c r="M9" s="22" t="s">
        <v>4</v>
      </c>
      <c r="N9" s="22" t="s">
        <v>4</v>
      </c>
      <c r="O9" s="22" t="s">
        <v>4</v>
      </c>
      <c r="P9" s="22" t="s">
        <v>4</v>
      </c>
      <c r="Q9" s="22" t="s">
        <v>4</v>
      </c>
      <c r="R9" s="22"/>
      <c r="S9" s="24" t="s">
        <v>4</v>
      </c>
    </row>
    <row r="10" spans="1:29" x14ac:dyDescent="0.2">
      <c r="A10" s="15"/>
      <c r="B10" s="16" t="s">
        <v>54</v>
      </c>
      <c r="C10" s="22" t="s">
        <v>4</v>
      </c>
      <c r="D10" s="22"/>
      <c r="E10" s="22"/>
      <c r="F10" s="23">
        <f t="shared" si="0"/>
        <v>0</v>
      </c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4"/>
      <c r="AC10" s="2"/>
    </row>
    <row r="11" spans="1:29" x14ac:dyDescent="0.2">
      <c r="A11" s="15"/>
      <c r="B11" s="16" t="s">
        <v>55</v>
      </c>
      <c r="C11" s="22" t="s">
        <v>4</v>
      </c>
      <c r="D11" s="22"/>
      <c r="E11" s="22"/>
      <c r="F11" s="23">
        <f t="shared" si="0"/>
        <v>0</v>
      </c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4"/>
      <c r="AC11" s="2"/>
    </row>
    <row r="12" spans="1:29" x14ac:dyDescent="0.2">
      <c r="A12" s="15"/>
      <c r="B12" s="16" t="s">
        <v>56</v>
      </c>
      <c r="C12" s="22" t="s">
        <v>4</v>
      </c>
      <c r="D12" s="22"/>
      <c r="E12" s="22"/>
      <c r="F12" s="23">
        <f t="shared" si="0"/>
        <v>0</v>
      </c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4"/>
      <c r="AC12" s="2"/>
    </row>
    <row r="13" spans="1:29" x14ac:dyDescent="0.2">
      <c r="A13" s="15" t="s">
        <v>58</v>
      </c>
      <c r="B13" s="16" t="s">
        <v>57</v>
      </c>
      <c r="C13" s="22" t="s">
        <v>4</v>
      </c>
      <c r="D13" s="22" t="s">
        <v>4</v>
      </c>
      <c r="E13" s="22" t="s">
        <v>4</v>
      </c>
      <c r="F13" s="23">
        <f t="shared" si="0"/>
        <v>12</v>
      </c>
      <c r="G13" s="22" t="s">
        <v>4</v>
      </c>
      <c r="H13" s="22" t="s">
        <v>4</v>
      </c>
      <c r="I13" s="22" t="s">
        <v>4</v>
      </c>
      <c r="J13" s="22" t="s">
        <v>4</v>
      </c>
      <c r="K13" s="22" t="s">
        <v>4</v>
      </c>
      <c r="L13" s="22" t="s">
        <v>4</v>
      </c>
      <c r="M13" s="22" t="s">
        <v>4</v>
      </c>
      <c r="N13" s="22" t="s">
        <v>4</v>
      </c>
      <c r="O13" s="22" t="s">
        <v>4</v>
      </c>
      <c r="P13" s="22" t="s">
        <v>4</v>
      </c>
      <c r="Q13" s="22" t="s">
        <v>4</v>
      </c>
      <c r="R13" s="22"/>
      <c r="S13" s="24" t="s">
        <v>4</v>
      </c>
    </row>
    <row r="14" spans="1:29" x14ac:dyDescent="0.2">
      <c r="A14" s="15"/>
      <c r="B14" s="16" t="s">
        <v>59</v>
      </c>
      <c r="C14" s="22" t="s">
        <v>4</v>
      </c>
      <c r="D14" s="22" t="s">
        <v>4</v>
      </c>
      <c r="E14" s="22" t="s">
        <v>4</v>
      </c>
      <c r="F14" s="23">
        <f t="shared" si="0"/>
        <v>13</v>
      </c>
      <c r="G14" s="22" t="s">
        <v>4</v>
      </c>
      <c r="H14" s="22" t="s">
        <v>4</v>
      </c>
      <c r="I14" s="22" t="s">
        <v>4</v>
      </c>
      <c r="J14" s="22" t="s">
        <v>4</v>
      </c>
      <c r="K14" s="22" t="s">
        <v>4</v>
      </c>
      <c r="L14" s="22" t="s">
        <v>4</v>
      </c>
      <c r="M14" s="22" t="s">
        <v>4</v>
      </c>
      <c r="N14" s="22" t="s">
        <v>4</v>
      </c>
      <c r="O14" s="22" t="s">
        <v>4</v>
      </c>
      <c r="P14" s="22" t="s">
        <v>4</v>
      </c>
      <c r="Q14" s="22" t="s">
        <v>4</v>
      </c>
      <c r="R14" s="22" t="s">
        <v>4</v>
      </c>
      <c r="S14" s="24" t="s">
        <v>4</v>
      </c>
    </row>
    <row r="15" spans="1:29" x14ac:dyDescent="0.2">
      <c r="A15" s="15"/>
      <c r="B15" s="16" t="s">
        <v>60</v>
      </c>
      <c r="C15" s="22" t="s">
        <v>4</v>
      </c>
      <c r="D15" s="22"/>
      <c r="E15" s="22"/>
      <c r="F15" s="23">
        <f t="shared" si="0"/>
        <v>0</v>
      </c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4"/>
    </row>
    <row r="16" spans="1:29" x14ac:dyDescent="0.2">
      <c r="A16" s="15" t="s">
        <v>7</v>
      </c>
      <c r="B16" s="16" t="s">
        <v>3</v>
      </c>
      <c r="C16" s="22" t="s">
        <v>4</v>
      </c>
      <c r="D16" s="22" t="s">
        <v>4</v>
      </c>
      <c r="E16" s="22" t="s">
        <v>4</v>
      </c>
      <c r="F16" s="23">
        <f t="shared" si="0"/>
        <v>1</v>
      </c>
      <c r="G16" s="22" t="s">
        <v>4</v>
      </c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4"/>
    </row>
    <row r="17" spans="1:19" x14ac:dyDescent="0.2">
      <c r="A17" s="15"/>
      <c r="B17" s="16" t="s">
        <v>65</v>
      </c>
      <c r="C17" s="22"/>
      <c r="D17" s="22" t="s">
        <v>4</v>
      </c>
      <c r="E17" s="22" t="s">
        <v>4</v>
      </c>
      <c r="F17" s="23">
        <f t="shared" si="0"/>
        <v>5</v>
      </c>
      <c r="G17" s="22" t="s">
        <v>4</v>
      </c>
      <c r="H17" s="22" t="s">
        <v>4</v>
      </c>
      <c r="I17" s="22"/>
      <c r="J17" s="22"/>
      <c r="K17" s="22"/>
      <c r="L17" s="22" t="s">
        <v>4</v>
      </c>
      <c r="M17" s="22" t="s">
        <v>4</v>
      </c>
      <c r="N17" s="22"/>
      <c r="O17" s="22"/>
      <c r="P17" s="22" t="s">
        <v>4</v>
      </c>
      <c r="Q17" s="22"/>
      <c r="R17" s="22"/>
      <c r="S17" s="24"/>
    </row>
    <row r="18" spans="1:19" x14ac:dyDescent="0.2">
      <c r="A18" s="15"/>
      <c r="B18" s="16" t="s">
        <v>5</v>
      </c>
      <c r="C18" s="22" t="s">
        <v>4</v>
      </c>
      <c r="D18" s="22" t="s">
        <v>4</v>
      </c>
      <c r="E18" s="22" t="s">
        <v>4</v>
      </c>
      <c r="F18" s="23">
        <f t="shared" si="0"/>
        <v>0</v>
      </c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4"/>
    </row>
    <row r="19" spans="1:19" x14ac:dyDescent="0.2">
      <c r="A19" s="15"/>
      <c r="B19" s="16" t="s">
        <v>6</v>
      </c>
      <c r="C19" s="22" t="s">
        <v>4</v>
      </c>
      <c r="D19" s="22" t="s">
        <v>4</v>
      </c>
      <c r="E19" s="22" t="s">
        <v>4</v>
      </c>
      <c r="F19" s="23">
        <f t="shared" si="0"/>
        <v>0</v>
      </c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4"/>
    </row>
    <row r="20" spans="1:19" x14ac:dyDescent="0.2">
      <c r="A20" s="15" t="s">
        <v>8</v>
      </c>
      <c r="B20" s="16" t="s">
        <v>9</v>
      </c>
      <c r="C20" s="22" t="s">
        <v>4</v>
      </c>
      <c r="D20" s="22" t="s">
        <v>4</v>
      </c>
      <c r="E20" s="22" t="s">
        <v>4</v>
      </c>
      <c r="F20" s="23">
        <f t="shared" si="0"/>
        <v>0</v>
      </c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4"/>
    </row>
    <row r="21" spans="1:19" x14ac:dyDescent="0.2">
      <c r="A21" s="15"/>
      <c r="B21" s="16" t="s">
        <v>10</v>
      </c>
      <c r="C21" s="22"/>
      <c r="D21" s="22" t="s">
        <v>4</v>
      </c>
      <c r="E21" s="22" t="s">
        <v>4</v>
      </c>
      <c r="F21" s="23">
        <f t="shared" si="0"/>
        <v>10</v>
      </c>
      <c r="G21" s="22" t="s">
        <v>4</v>
      </c>
      <c r="H21" s="22" t="s">
        <v>4</v>
      </c>
      <c r="I21" s="22" t="s">
        <v>4</v>
      </c>
      <c r="J21" s="22" t="s">
        <v>4</v>
      </c>
      <c r="K21" s="22" t="s">
        <v>4</v>
      </c>
      <c r="L21" s="22" t="s">
        <v>4</v>
      </c>
      <c r="M21" s="22" t="s">
        <v>4</v>
      </c>
      <c r="N21" s="22" t="s">
        <v>4</v>
      </c>
      <c r="O21" s="22" t="s">
        <v>4</v>
      </c>
      <c r="P21" s="22" t="s">
        <v>4</v>
      </c>
      <c r="Q21" s="22"/>
      <c r="R21" s="22"/>
      <c r="S21" s="24"/>
    </row>
    <row r="22" spans="1:19" x14ac:dyDescent="0.2">
      <c r="A22" s="15"/>
      <c r="B22" s="16" t="s">
        <v>62</v>
      </c>
      <c r="C22" s="22"/>
      <c r="D22" s="22" t="s">
        <v>4</v>
      </c>
      <c r="E22" s="22" t="s">
        <v>4</v>
      </c>
      <c r="F22" s="23">
        <f t="shared" si="0"/>
        <v>10</v>
      </c>
      <c r="G22" s="22" t="s">
        <v>4</v>
      </c>
      <c r="H22" s="22" t="s">
        <v>4</v>
      </c>
      <c r="I22" s="22" t="s">
        <v>4</v>
      </c>
      <c r="J22" s="22" t="s">
        <v>4</v>
      </c>
      <c r="K22" s="22" t="s">
        <v>4</v>
      </c>
      <c r="L22" s="22" t="s">
        <v>4</v>
      </c>
      <c r="M22" s="22" t="s">
        <v>4</v>
      </c>
      <c r="N22" s="22" t="s">
        <v>4</v>
      </c>
      <c r="O22" s="22" t="s">
        <v>4</v>
      </c>
      <c r="P22" s="22" t="s">
        <v>4</v>
      </c>
      <c r="Q22" s="22"/>
      <c r="R22" s="22"/>
      <c r="S22" s="24"/>
    </row>
    <row r="23" spans="1:19" x14ac:dyDescent="0.2">
      <c r="A23" s="15" t="s">
        <v>12</v>
      </c>
      <c r="B23" s="16" t="s">
        <v>11</v>
      </c>
      <c r="C23" s="22" t="s">
        <v>4</v>
      </c>
      <c r="D23" s="22" t="s">
        <v>4</v>
      </c>
      <c r="E23" s="22" t="s">
        <v>4</v>
      </c>
      <c r="F23" s="23">
        <f t="shared" si="0"/>
        <v>1</v>
      </c>
      <c r="G23" s="22" t="s">
        <v>4</v>
      </c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4"/>
    </row>
    <row r="24" spans="1:19" x14ac:dyDescent="0.2">
      <c r="A24" s="15"/>
      <c r="B24" s="16" t="s">
        <v>13</v>
      </c>
      <c r="C24" s="22"/>
      <c r="D24" s="22" t="s">
        <v>4</v>
      </c>
      <c r="E24" s="22" t="s">
        <v>4</v>
      </c>
      <c r="F24" s="23">
        <f t="shared" si="0"/>
        <v>3</v>
      </c>
      <c r="G24" s="22" t="s">
        <v>4</v>
      </c>
      <c r="H24" s="22"/>
      <c r="I24" s="22"/>
      <c r="J24" s="22"/>
      <c r="K24" s="22"/>
      <c r="L24" s="22" t="s">
        <v>4</v>
      </c>
      <c r="M24" s="22" t="s">
        <v>4</v>
      </c>
      <c r="N24" s="22"/>
      <c r="O24" s="22"/>
      <c r="P24" s="22"/>
      <c r="Q24" s="22"/>
      <c r="R24" s="22"/>
      <c r="S24" s="24"/>
    </row>
    <row r="25" spans="1:19" x14ac:dyDescent="0.2">
      <c r="A25" s="15" t="s">
        <v>15</v>
      </c>
      <c r="B25" s="16" t="s">
        <v>16</v>
      </c>
      <c r="C25" s="22" t="s">
        <v>4</v>
      </c>
      <c r="D25" s="22" t="s">
        <v>4</v>
      </c>
      <c r="E25" s="22" t="s">
        <v>4</v>
      </c>
      <c r="F25" s="23">
        <f t="shared" si="0"/>
        <v>4</v>
      </c>
      <c r="G25" s="22" t="s">
        <v>4</v>
      </c>
      <c r="H25" s="22" t="s">
        <v>4</v>
      </c>
      <c r="I25" s="22"/>
      <c r="J25" s="22"/>
      <c r="K25" s="22"/>
      <c r="L25" s="22"/>
      <c r="M25" s="22"/>
      <c r="N25" s="22"/>
      <c r="O25" s="22"/>
      <c r="P25" s="22"/>
      <c r="Q25" s="22" t="s">
        <v>4</v>
      </c>
      <c r="R25" s="22"/>
      <c r="S25" s="24" t="s">
        <v>4</v>
      </c>
    </row>
    <row r="26" spans="1:19" x14ac:dyDescent="0.2">
      <c r="A26" s="15"/>
      <c r="B26" s="16" t="s">
        <v>14</v>
      </c>
      <c r="C26" s="22"/>
      <c r="D26" s="22" t="s">
        <v>4</v>
      </c>
      <c r="E26" s="22" t="s">
        <v>4</v>
      </c>
      <c r="F26" s="23">
        <f t="shared" si="0"/>
        <v>3</v>
      </c>
      <c r="G26" s="22" t="s">
        <v>4</v>
      </c>
      <c r="H26" s="22" t="s">
        <v>4</v>
      </c>
      <c r="I26" s="22"/>
      <c r="J26" s="22"/>
      <c r="K26" s="22" t="s">
        <v>4</v>
      </c>
      <c r="L26" s="22"/>
      <c r="M26" s="22"/>
      <c r="N26" s="22"/>
      <c r="O26" s="22"/>
      <c r="P26" s="22"/>
      <c r="Q26" s="22"/>
      <c r="R26" s="22"/>
      <c r="S26" s="24"/>
    </row>
    <row r="27" spans="1:19" x14ac:dyDescent="0.2">
      <c r="A27" s="15"/>
      <c r="B27" s="16" t="s">
        <v>17</v>
      </c>
      <c r="C27" s="22"/>
      <c r="D27" s="22" t="s">
        <v>4</v>
      </c>
      <c r="E27" s="22" t="s">
        <v>4</v>
      </c>
      <c r="F27" s="23">
        <f t="shared" si="0"/>
        <v>2</v>
      </c>
      <c r="G27" s="22" t="s">
        <v>4</v>
      </c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4" t="s">
        <v>4</v>
      </c>
    </row>
    <row r="28" spans="1:19" x14ac:dyDescent="0.2">
      <c r="A28" s="15"/>
      <c r="B28" s="16" t="s">
        <v>18</v>
      </c>
      <c r="C28" s="22" t="s">
        <v>4</v>
      </c>
      <c r="D28" s="22" t="s">
        <v>4</v>
      </c>
      <c r="E28" s="22" t="s">
        <v>4</v>
      </c>
      <c r="F28" s="23">
        <f t="shared" si="0"/>
        <v>2</v>
      </c>
      <c r="G28" s="22"/>
      <c r="H28" s="22" t="s">
        <v>4</v>
      </c>
      <c r="I28" s="22"/>
      <c r="J28" s="22"/>
      <c r="K28" s="22"/>
      <c r="L28" s="22"/>
      <c r="M28" s="22"/>
      <c r="N28" s="22" t="s">
        <v>4</v>
      </c>
      <c r="O28" s="22"/>
      <c r="P28" s="22"/>
      <c r="Q28" s="22"/>
      <c r="R28" s="22"/>
      <c r="S28" s="24"/>
    </row>
    <row r="29" spans="1:19" x14ac:dyDescent="0.2">
      <c r="A29" s="15"/>
      <c r="B29" s="16" t="s">
        <v>19</v>
      </c>
      <c r="C29" s="22" t="s">
        <v>4</v>
      </c>
      <c r="D29" s="22" t="s">
        <v>4</v>
      </c>
      <c r="E29" s="22" t="s">
        <v>4</v>
      </c>
      <c r="F29" s="23">
        <f t="shared" si="0"/>
        <v>1</v>
      </c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4" t="s">
        <v>4</v>
      </c>
    </row>
    <row r="30" spans="1:19" x14ac:dyDescent="0.2">
      <c r="A30" s="15"/>
      <c r="B30" s="16" t="s">
        <v>20</v>
      </c>
      <c r="C30" s="22" t="s">
        <v>4</v>
      </c>
      <c r="D30" s="22" t="s">
        <v>4</v>
      </c>
      <c r="E30" s="22" t="s">
        <v>4</v>
      </c>
      <c r="F30" s="23">
        <f t="shared" si="0"/>
        <v>0</v>
      </c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4"/>
    </row>
    <row r="31" spans="1:19" x14ac:dyDescent="0.2">
      <c r="A31" s="15"/>
      <c r="B31" s="16" t="s">
        <v>21</v>
      </c>
      <c r="C31" s="22"/>
      <c r="D31" s="22" t="s">
        <v>4</v>
      </c>
      <c r="E31" s="22" t="s">
        <v>4</v>
      </c>
      <c r="F31" s="23">
        <f t="shared" si="0"/>
        <v>4</v>
      </c>
      <c r="G31" s="22" t="s">
        <v>4</v>
      </c>
      <c r="H31" s="22"/>
      <c r="I31" s="22" t="s">
        <v>4</v>
      </c>
      <c r="J31" s="22" t="s">
        <v>4</v>
      </c>
      <c r="K31" s="22"/>
      <c r="L31" s="22"/>
      <c r="M31" s="22"/>
      <c r="N31" s="22" t="s">
        <v>4</v>
      </c>
      <c r="O31" s="22"/>
      <c r="P31" s="22"/>
      <c r="Q31" s="22"/>
      <c r="R31" s="22"/>
      <c r="S31" s="24"/>
    </row>
    <row r="32" spans="1:19" x14ac:dyDescent="0.2">
      <c r="A32" s="15"/>
      <c r="B32" s="16" t="s">
        <v>22</v>
      </c>
      <c r="C32" s="22"/>
      <c r="D32" s="22" t="s">
        <v>4</v>
      </c>
      <c r="E32" s="22" t="s">
        <v>4</v>
      </c>
      <c r="F32" s="23">
        <f t="shared" si="0"/>
        <v>10</v>
      </c>
      <c r="G32" s="22" t="s">
        <v>4</v>
      </c>
      <c r="H32" s="22" t="s">
        <v>4</v>
      </c>
      <c r="I32" s="22" t="s">
        <v>4</v>
      </c>
      <c r="J32" s="22" t="s">
        <v>4</v>
      </c>
      <c r="K32" s="22" t="s">
        <v>4</v>
      </c>
      <c r="L32" s="22" t="s">
        <v>4</v>
      </c>
      <c r="M32" s="22" t="s">
        <v>4</v>
      </c>
      <c r="N32" s="22" t="s">
        <v>4</v>
      </c>
      <c r="O32" s="22" t="s">
        <v>4</v>
      </c>
      <c r="P32" s="22" t="s">
        <v>4</v>
      </c>
      <c r="Q32" s="22"/>
      <c r="R32" s="22"/>
      <c r="S32" s="24"/>
    </row>
    <row r="33" spans="1:19" x14ac:dyDescent="0.2">
      <c r="A33" s="15"/>
      <c r="B33" s="16" t="s">
        <v>23</v>
      </c>
      <c r="C33" s="22"/>
      <c r="D33" s="22" t="s">
        <v>4</v>
      </c>
      <c r="E33" s="22" t="s">
        <v>4</v>
      </c>
      <c r="F33" s="23">
        <f t="shared" si="0"/>
        <v>1</v>
      </c>
      <c r="G33" s="22" t="s">
        <v>4</v>
      </c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4"/>
    </row>
    <row r="34" spans="1:19" x14ac:dyDescent="0.2">
      <c r="A34" s="15" t="s">
        <v>35</v>
      </c>
      <c r="B34" s="16" t="s">
        <v>24</v>
      </c>
      <c r="C34" s="22" t="s">
        <v>4</v>
      </c>
      <c r="D34" s="22" t="s">
        <v>4</v>
      </c>
      <c r="E34" s="22" t="s">
        <v>4</v>
      </c>
      <c r="F34" s="23">
        <f t="shared" si="0"/>
        <v>10</v>
      </c>
      <c r="G34" s="22" t="s">
        <v>4</v>
      </c>
      <c r="H34" s="22" t="s">
        <v>4</v>
      </c>
      <c r="I34" s="22"/>
      <c r="J34" s="22"/>
      <c r="K34" s="22" t="s">
        <v>4</v>
      </c>
      <c r="L34" s="22" t="s">
        <v>4</v>
      </c>
      <c r="M34" s="22" t="s">
        <v>4</v>
      </c>
      <c r="N34" s="22" t="s">
        <v>4</v>
      </c>
      <c r="O34" s="22" t="s">
        <v>4</v>
      </c>
      <c r="P34" s="22" t="s">
        <v>4</v>
      </c>
      <c r="Q34" s="22" t="s">
        <v>4</v>
      </c>
      <c r="R34" s="22"/>
      <c r="S34" s="24" t="s">
        <v>4</v>
      </c>
    </row>
    <row r="35" spans="1:19" x14ac:dyDescent="0.2">
      <c r="A35" s="15"/>
      <c r="B35" s="16" t="s">
        <v>25</v>
      </c>
      <c r="C35" s="22"/>
      <c r="D35" s="22" t="s">
        <v>4</v>
      </c>
      <c r="E35" s="22" t="s">
        <v>4</v>
      </c>
      <c r="F35" s="23">
        <f t="shared" si="0"/>
        <v>0</v>
      </c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4"/>
    </row>
    <row r="36" spans="1:19" x14ac:dyDescent="0.2">
      <c r="A36" s="15"/>
      <c r="B36" s="16" t="s">
        <v>26</v>
      </c>
      <c r="C36" s="22" t="s">
        <v>4</v>
      </c>
      <c r="D36" s="22" t="s">
        <v>4</v>
      </c>
      <c r="E36" s="22" t="s">
        <v>4</v>
      </c>
      <c r="F36" s="23">
        <f t="shared" si="0"/>
        <v>8</v>
      </c>
      <c r="G36" s="22" t="s">
        <v>4</v>
      </c>
      <c r="H36" s="22"/>
      <c r="I36" s="22" t="s">
        <v>4</v>
      </c>
      <c r="J36" s="22" t="s">
        <v>4</v>
      </c>
      <c r="K36" s="22" t="s">
        <v>4</v>
      </c>
      <c r="L36" s="22"/>
      <c r="M36" s="22"/>
      <c r="N36" s="22" t="s">
        <v>4</v>
      </c>
      <c r="O36" s="22" t="s">
        <v>4</v>
      </c>
      <c r="P36" s="22" t="s">
        <v>4</v>
      </c>
      <c r="Q36" s="22"/>
      <c r="R36" s="22"/>
      <c r="S36" s="24" t="s">
        <v>4</v>
      </c>
    </row>
    <row r="37" spans="1:19" x14ac:dyDescent="0.2">
      <c r="A37" s="15"/>
      <c r="B37" s="16" t="s">
        <v>30</v>
      </c>
      <c r="C37" s="22" t="s">
        <v>4</v>
      </c>
      <c r="D37" s="22" t="s">
        <v>4</v>
      </c>
      <c r="E37" s="22" t="s">
        <v>4</v>
      </c>
      <c r="F37" s="23">
        <f t="shared" si="0"/>
        <v>6</v>
      </c>
      <c r="G37" s="22" t="s">
        <v>4</v>
      </c>
      <c r="H37" s="22"/>
      <c r="I37" s="22" t="s">
        <v>4</v>
      </c>
      <c r="J37" s="22" t="s">
        <v>4</v>
      </c>
      <c r="K37" s="22" t="s">
        <v>4</v>
      </c>
      <c r="L37" s="22"/>
      <c r="M37" s="22"/>
      <c r="N37" s="22"/>
      <c r="O37" s="22" t="s">
        <v>4</v>
      </c>
      <c r="P37" s="22" t="s">
        <v>4</v>
      </c>
      <c r="Q37" s="22"/>
      <c r="R37" s="22"/>
      <c r="S37" s="24"/>
    </row>
    <row r="38" spans="1:19" x14ac:dyDescent="0.2">
      <c r="A38" s="15"/>
      <c r="B38" s="16" t="s">
        <v>27</v>
      </c>
      <c r="C38" s="22" t="s">
        <v>4</v>
      </c>
      <c r="D38" s="22"/>
      <c r="E38" s="22"/>
      <c r="F38" s="23">
        <f t="shared" si="0"/>
        <v>0</v>
      </c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4"/>
    </row>
    <row r="39" spans="1:19" x14ac:dyDescent="0.2">
      <c r="A39" s="15"/>
      <c r="B39" s="16" t="s">
        <v>28</v>
      </c>
      <c r="C39" s="22" t="s">
        <v>4</v>
      </c>
      <c r="D39" s="22" t="s">
        <v>4</v>
      </c>
      <c r="E39" s="22" t="s">
        <v>4</v>
      </c>
      <c r="F39" s="23">
        <f t="shared" si="0"/>
        <v>0</v>
      </c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4"/>
    </row>
    <row r="40" spans="1:19" x14ac:dyDescent="0.2">
      <c r="A40" s="15"/>
      <c r="B40" s="16" t="s">
        <v>29</v>
      </c>
      <c r="C40" s="22" t="s">
        <v>4</v>
      </c>
      <c r="D40" s="22" t="s">
        <v>4</v>
      </c>
      <c r="E40" s="22" t="s">
        <v>4</v>
      </c>
      <c r="F40" s="23">
        <f t="shared" si="0"/>
        <v>0</v>
      </c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4"/>
    </row>
    <row r="41" spans="1:19" x14ac:dyDescent="0.2">
      <c r="A41" s="15"/>
      <c r="B41" s="16" t="s">
        <v>31</v>
      </c>
      <c r="C41" s="22" t="s">
        <v>4</v>
      </c>
      <c r="D41" s="22" t="s">
        <v>4</v>
      </c>
      <c r="E41" s="22" t="s">
        <v>4</v>
      </c>
      <c r="F41" s="23">
        <f t="shared" si="0"/>
        <v>0</v>
      </c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4"/>
    </row>
    <row r="42" spans="1:19" x14ac:dyDescent="0.2">
      <c r="A42" s="15"/>
      <c r="B42" s="16" t="s">
        <v>32</v>
      </c>
      <c r="C42" s="22" t="s">
        <v>4</v>
      </c>
      <c r="D42" s="22"/>
      <c r="E42" s="22"/>
      <c r="F42" s="23">
        <f t="shared" si="0"/>
        <v>0</v>
      </c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4"/>
    </row>
    <row r="43" spans="1:19" x14ac:dyDescent="0.2">
      <c r="A43" s="15"/>
      <c r="B43" s="16" t="s">
        <v>33</v>
      </c>
      <c r="C43" s="22" t="s">
        <v>4</v>
      </c>
      <c r="D43" s="22" t="s">
        <v>4</v>
      </c>
      <c r="E43" s="22" t="s">
        <v>4</v>
      </c>
      <c r="F43" s="23">
        <f t="shared" si="0"/>
        <v>1</v>
      </c>
      <c r="G43" s="22" t="s">
        <v>4</v>
      </c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4"/>
    </row>
    <row r="44" spans="1:19" x14ac:dyDescent="0.2">
      <c r="A44" s="15"/>
      <c r="B44" s="16" t="s">
        <v>61</v>
      </c>
      <c r="C44" s="22" t="s">
        <v>4</v>
      </c>
      <c r="D44" s="22" t="s">
        <v>4</v>
      </c>
      <c r="E44" s="22" t="s">
        <v>4</v>
      </c>
      <c r="F44" s="23">
        <f t="shared" si="0"/>
        <v>5</v>
      </c>
      <c r="G44" s="22" t="s">
        <v>4</v>
      </c>
      <c r="H44" s="22"/>
      <c r="I44" s="22" t="s">
        <v>4</v>
      </c>
      <c r="J44" s="22" t="s">
        <v>4</v>
      </c>
      <c r="K44" s="22"/>
      <c r="L44" s="22"/>
      <c r="M44" s="22"/>
      <c r="N44" s="22"/>
      <c r="O44" s="22"/>
      <c r="P44" s="22"/>
      <c r="Q44" s="22" t="s">
        <v>4</v>
      </c>
      <c r="R44" s="22"/>
      <c r="S44" s="24" t="s">
        <v>4</v>
      </c>
    </row>
    <row r="45" spans="1:19" x14ac:dyDescent="0.2">
      <c r="A45" s="15"/>
      <c r="B45" s="16" t="s">
        <v>64</v>
      </c>
      <c r="C45" s="22"/>
      <c r="D45" s="22" t="s">
        <v>4</v>
      </c>
      <c r="E45" s="22" t="s">
        <v>4</v>
      </c>
      <c r="F45" s="23">
        <f t="shared" si="0"/>
        <v>1</v>
      </c>
      <c r="G45" s="22" t="s">
        <v>4</v>
      </c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4"/>
    </row>
    <row r="46" spans="1:19" x14ac:dyDescent="0.2">
      <c r="A46" s="15"/>
      <c r="B46" s="16" t="s">
        <v>34</v>
      </c>
      <c r="C46" s="22" t="s">
        <v>4</v>
      </c>
      <c r="D46" s="22" t="s">
        <v>4</v>
      </c>
      <c r="E46" s="22" t="s">
        <v>4</v>
      </c>
      <c r="F46" s="23">
        <f t="shared" si="0"/>
        <v>0</v>
      </c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4"/>
    </row>
    <row r="47" spans="1:19" x14ac:dyDescent="0.2">
      <c r="A47" s="15" t="s">
        <v>43</v>
      </c>
      <c r="B47" s="16" t="s">
        <v>36</v>
      </c>
      <c r="C47" s="22" t="s">
        <v>4</v>
      </c>
      <c r="D47" s="22" t="s">
        <v>4</v>
      </c>
      <c r="E47" s="22" t="s">
        <v>4</v>
      </c>
      <c r="F47" s="23">
        <f t="shared" si="0"/>
        <v>8</v>
      </c>
      <c r="G47" s="22" t="s">
        <v>4</v>
      </c>
      <c r="H47" s="22" t="s">
        <v>4</v>
      </c>
      <c r="I47" s="22"/>
      <c r="J47" s="22"/>
      <c r="K47" s="22" t="s">
        <v>4</v>
      </c>
      <c r="L47" s="22" t="s">
        <v>4</v>
      </c>
      <c r="M47" s="22" t="s">
        <v>4</v>
      </c>
      <c r="N47" s="22" t="s">
        <v>4</v>
      </c>
      <c r="O47" s="22" t="s">
        <v>4</v>
      </c>
      <c r="P47" s="22" t="s">
        <v>4</v>
      </c>
      <c r="Q47" s="22"/>
      <c r="R47" s="22"/>
      <c r="S47" s="24"/>
    </row>
    <row r="48" spans="1:19" x14ac:dyDescent="0.2">
      <c r="A48" s="15"/>
      <c r="B48" s="16" t="s">
        <v>37</v>
      </c>
      <c r="C48" s="22"/>
      <c r="D48" s="22" t="s">
        <v>4</v>
      </c>
      <c r="E48" s="22" t="s">
        <v>4</v>
      </c>
      <c r="F48" s="23">
        <f t="shared" si="0"/>
        <v>3</v>
      </c>
      <c r="G48" s="22" t="s">
        <v>4</v>
      </c>
      <c r="H48" s="22"/>
      <c r="I48" s="22" t="s">
        <v>4</v>
      </c>
      <c r="J48" s="22" t="s">
        <v>4</v>
      </c>
      <c r="K48" s="22"/>
      <c r="L48" s="22"/>
      <c r="M48" s="22"/>
      <c r="N48" s="22"/>
      <c r="O48" s="22"/>
      <c r="P48" s="22"/>
      <c r="Q48" s="22"/>
      <c r="R48" s="22"/>
      <c r="S48" s="24"/>
    </row>
    <row r="49" spans="1:19" x14ac:dyDescent="0.2">
      <c r="A49" s="15"/>
      <c r="B49" s="16" t="s">
        <v>38</v>
      </c>
      <c r="C49" s="22" t="s">
        <v>4</v>
      </c>
      <c r="D49" s="22" t="s">
        <v>4</v>
      </c>
      <c r="E49" s="22" t="s">
        <v>4</v>
      </c>
      <c r="F49" s="23">
        <f t="shared" si="0"/>
        <v>3</v>
      </c>
      <c r="G49" s="22" t="s">
        <v>4</v>
      </c>
      <c r="H49" s="22"/>
      <c r="I49" s="22"/>
      <c r="J49" s="22"/>
      <c r="K49" s="22"/>
      <c r="L49" s="22"/>
      <c r="M49" s="22"/>
      <c r="N49" s="22"/>
      <c r="O49" s="22"/>
      <c r="P49" s="22"/>
      <c r="Q49" s="22" t="s">
        <v>4</v>
      </c>
      <c r="R49" s="22" t="s">
        <v>4</v>
      </c>
      <c r="S49" s="24"/>
    </row>
    <row r="50" spans="1:19" x14ac:dyDescent="0.2">
      <c r="A50" s="15"/>
      <c r="B50" s="16" t="s">
        <v>39</v>
      </c>
      <c r="C50" s="22" t="s">
        <v>4</v>
      </c>
      <c r="D50" s="22" t="s">
        <v>4</v>
      </c>
      <c r="E50" s="22" t="s">
        <v>4</v>
      </c>
      <c r="F50" s="23">
        <f t="shared" si="0"/>
        <v>0</v>
      </c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4"/>
    </row>
    <row r="51" spans="1:19" x14ac:dyDescent="0.2">
      <c r="A51" s="15"/>
      <c r="B51" s="16" t="s">
        <v>40</v>
      </c>
      <c r="C51" s="22" t="s">
        <v>4</v>
      </c>
      <c r="D51" s="22"/>
      <c r="E51" s="22"/>
      <c r="F51" s="23">
        <f t="shared" si="0"/>
        <v>0</v>
      </c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4"/>
    </row>
    <row r="52" spans="1:19" x14ac:dyDescent="0.2">
      <c r="A52" s="15"/>
      <c r="B52" s="16" t="s">
        <v>41</v>
      </c>
      <c r="C52" s="22" t="s">
        <v>4</v>
      </c>
      <c r="D52" s="22"/>
      <c r="E52" s="22"/>
      <c r="F52" s="23">
        <f t="shared" si="0"/>
        <v>0</v>
      </c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4"/>
    </row>
    <row r="53" spans="1:19" x14ac:dyDescent="0.2">
      <c r="A53" s="15"/>
      <c r="B53" s="16" t="s">
        <v>63</v>
      </c>
      <c r="C53" s="22"/>
      <c r="D53" s="22" t="s">
        <v>4</v>
      </c>
      <c r="E53" s="22" t="s">
        <v>4</v>
      </c>
      <c r="F53" s="23">
        <f t="shared" si="0"/>
        <v>13</v>
      </c>
      <c r="G53" s="22" t="s">
        <v>4</v>
      </c>
      <c r="H53" s="22" t="s">
        <v>4</v>
      </c>
      <c r="I53" s="22" t="s">
        <v>4</v>
      </c>
      <c r="J53" s="22" t="s">
        <v>4</v>
      </c>
      <c r="K53" s="22" t="s">
        <v>4</v>
      </c>
      <c r="L53" s="22" t="s">
        <v>4</v>
      </c>
      <c r="M53" s="22" t="s">
        <v>4</v>
      </c>
      <c r="N53" s="22" t="s">
        <v>4</v>
      </c>
      <c r="O53" s="22" t="s">
        <v>4</v>
      </c>
      <c r="P53" s="22" t="s">
        <v>4</v>
      </c>
      <c r="Q53" s="22" t="s">
        <v>4</v>
      </c>
      <c r="R53" s="22" t="s">
        <v>4</v>
      </c>
      <c r="S53" s="24" t="s">
        <v>4</v>
      </c>
    </row>
    <row r="54" spans="1:19" ht="16" thickBot="1" x14ac:dyDescent="0.25">
      <c r="A54" s="17"/>
      <c r="B54" s="18" t="s">
        <v>42</v>
      </c>
      <c r="C54" s="25"/>
      <c r="D54" s="25" t="s">
        <v>4</v>
      </c>
      <c r="E54" s="25" t="s">
        <v>4</v>
      </c>
      <c r="F54" s="26">
        <f>COUNTIF(G54:S54,"*")</f>
        <v>2</v>
      </c>
      <c r="G54" s="25"/>
      <c r="H54" s="25"/>
      <c r="I54" s="25"/>
      <c r="J54" s="25"/>
      <c r="K54" s="25" t="s">
        <v>4</v>
      </c>
      <c r="L54" s="25"/>
      <c r="M54" s="25"/>
      <c r="N54" s="25"/>
      <c r="O54" s="25"/>
      <c r="P54" s="25"/>
      <c r="Q54" s="25" t="s">
        <v>4</v>
      </c>
      <c r="R54" s="25"/>
      <c r="S54" s="27"/>
    </row>
    <row r="55" spans="1:19" x14ac:dyDescent="0.2">
      <c r="A55" s="3" t="s">
        <v>81</v>
      </c>
      <c r="B55" s="4"/>
      <c r="C55" s="4"/>
      <c r="D55" s="4">
        <f>COUNTIF(D2:D54,"x")</f>
        <v>42</v>
      </c>
      <c r="E55" s="4">
        <f t="shared" ref="E55:S55" si="1">COUNTIF(E2:E54,"x")</f>
        <v>42</v>
      </c>
      <c r="F55" s="4">
        <f>COUNTIF(F2:F54,"x")</f>
        <v>0</v>
      </c>
      <c r="G55" s="4">
        <f>COUNTIF(G2:G54,"x")</f>
        <v>25</v>
      </c>
      <c r="H55" s="4">
        <f t="shared" si="1"/>
        <v>17</v>
      </c>
      <c r="I55" s="4">
        <f t="shared" si="1"/>
        <v>12</v>
      </c>
      <c r="J55" s="4">
        <f t="shared" si="1"/>
        <v>16</v>
      </c>
      <c r="K55" s="4">
        <f t="shared" si="1"/>
        <v>17</v>
      </c>
      <c r="L55" s="4">
        <f t="shared" si="1"/>
        <v>15</v>
      </c>
      <c r="M55" s="4">
        <f t="shared" si="1"/>
        <v>15</v>
      </c>
      <c r="N55" s="4">
        <f t="shared" si="1"/>
        <v>12</v>
      </c>
      <c r="O55" s="4">
        <f t="shared" si="1"/>
        <v>15</v>
      </c>
      <c r="P55" s="4">
        <f t="shared" si="1"/>
        <v>16</v>
      </c>
      <c r="Q55" s="4">
        <f t="shared" si="1"/>
        <v>13</v>
      </c>
      <c r="R55" s="4">
        <f t="shared" si="1"/>
        <v>3</v>
      </c>
      <c r="S55" s="5">
        <f t="shared" si="1"/>
        <v>14</v>
      </c>
    </row>
    <row r="56" spans="1:19" ht="16" thickBot="1" x14ac:dyDescent="0.25">
      <c r="A56" s="6" t="s">
        <v>82</v>
      </c>
      <c r="B56" s="7"/>
      <c r="C56" s="7">
        <f>COUNTIF(C2:C54,"x")</f>
        <v>39</v>
      </c>
      <c r="D56" s="7">
        <f>COUNTIFS($C$2:$C$54,"x",D2:D54,"x")</f>
        <v>28</v>
      </c>
      <c r="E56" s="7">
        <f t="shared" ref="E56:S56" si="2">COUNTIFS($C$2:$C$54,"x",E2:E54,"x")</f>
        <v>28</v>
      </c>
      <c r="F56" s="7">
        <f t="shared" ref="F56" si="3">COUNTIFS($C$2:$C$54,"x",F2:F54,"x")</f>
        <v>0</v>
      </c>
      <c r="G56" s="7">
        <f t="shared" si="2"/>
        <v>13</v>
      </c>
      <c r="H56" s="7">
        <f t="shared" si="2"/>
        <v>11</v>
      </c>
      <c r="I56" s="7">
        <f t="shared" si="2"/>
        <v>6</v>
      </c>
      <c r="J56" s="7">
        <f t="shared" si="2"/>
        <v>10</v>
      </c>
      <c r="K56" s="7">
        <f t="shared" si="2"/>
        <v>11</v>
      </c>
      <c r="L56" s="7">
        <f t="shared" si="2"/>
        <v>9</v>
      </c>
      <c r="M56" s="7">
        <f t="shared" si="2"/>
        <v>9</v>
      </c>
      <c r="N56" s="7">
        <f t="shared" si="2"/>
        <v>7</v>
      </c>
      <c r="O56" s="7">
        <f t="shared" si="2"/>
        <v>11</v>
      </c>
      <c r="P56" s="7">
        <f t="shared" si="2"/>
        <v>11</v>
      </c>
      <c r="Q56" s="7">
        <f t="shared" si="2"/>
        <v>11</v>
      </c>
      <c r="R56" s="7">
        <f t="shared" si="2"/>
        <v>2</v>
      </c>
      <c r="S56" s="8">
        <f t="shared" si="2"/>
        <v>12</v>
      </c>
    </row>
  </sheetData>
  <mergeCells count="11">
    <mergeCell ref="A47:A54"/>
    <mergeCell ref="A20:A22"/>
    <mergeCell ref="A16:A19"/>
    <mergeCell ref="A23:A24"/>
    <mergeCell ref="A25:A33"/>
    <mergeCell ref="A34:A46"/>
    <mergeCell ref="AC4:AC8"/>
    <mergeCell ref="AC10:AC12"/>
    <mergeCell ref="A13:A15"/>
    <mergeCell ref="A9:A12"/>
    <mergeCell ref="A2:A8"/>
  </mergeCells>
  <conditionalFormatting sqref="C2:S54">
    <cfRule type="notContainsBlanks" dxfId="0" priority="1">
      <formula>LEN(TRIM(C2))&gt;0</formula>
    </cfRule>
  </conditionalFormatting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Steffan Dominik</dc:creator>
  <cp:lastModifiedBy>Kern Manuel</cp:lastModifiedBy>
  <dcterms:created xsi:type="dcterms:W3CDTF">2025-08-24T19:06:36Z</dcterms:created>
  <dcterms:modified xsi:type="dcterms:W3CDTF">2025-11-21T22:40:57Z</dcterms:modified>
</cp:coreProperties>
</file>